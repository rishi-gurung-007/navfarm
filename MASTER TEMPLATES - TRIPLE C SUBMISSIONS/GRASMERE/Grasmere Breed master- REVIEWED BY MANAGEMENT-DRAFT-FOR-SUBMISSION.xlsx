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olcomzimbabwe-my.sharepoint.com/personal/mcharumbira_colcom_co_zw/Documents/Documents/NAVFARM TEMPLATES FOR APPROVALS/GRASMERE/"/>
    </mc:Choice>
  </mc:AlternateContent>
  <xr:revisionPtr revIDLastSave="0" documentId="8_{F06320F8-7760-43DB-B153-D30BD404E381}" xr6:coauthVersionLast="47" xr6:coauthVersionMax="47" xr10:uidLastSave="{00000000-0000-0000-0000-000000000000}"/>
  <bookViews>
    <workbookView xWindow="-108" yWindow="-108" windowWidth="23256" windowHeight="13896" tabRatio="760" activeTab="2" xr2:uid="{00000000-000D-0000-FFFF-FFFF00000000}"/>
  </bookViews>
  <sheets>
    <sheet name="Breed Master" sheetId="2" r:id="rId1"/>
    <sheet name="Breed L-cycle stages gilts" sheetId="14" r:id="rId2"/>
    <sheet name="Breed lifecycle stages - reprod" sheetId="3" r:id="rId3"/>
    <sheet name="Breeder L-cycle stages -WeanGro" sheetId="13" r:id="rId4"/>
    <sheet name="Sample 10, 16 &amp; 27 wk variation" sheetId="4" r:id="rId5"/>
    <sheet name="Medication Table" sheetId="5" r:id="rId6"/>
    <sheet name="Gilt Feed schedule - Farr" sheetId="8" r:id="rId7"/>
    <sheet name="Sow Feed Schedule - Farr" sheetId="9" r:id="rId8"/>
    <sheet name="Feed schedule - In Dry Sow" sheetId="10" r:id="rId9"/>
    <sheet name="Service Line Feed Schedule" sheetId="11" r:id="rId10"/>
    <sheet name="Treatment Card" sheetId="12" r:id="rId11"/>
  </sheets>
  <externalReferences>
    <externalReference r:id="rId12"/>
    <externalReference r:id="rId13"/>
    <externalReference r:id="rId14"/>
  </externalReferences>
  <definedNames>
    <definedName name="_xlnm.Print_Area" localSheetId="8">'Feed schedule - In Dry Sow'!$B$1:$H$15</definedName>
    <definedName name="_xlnm.Print_Area" localSheetId="9">'Service Line Feed Schedule'!$B$1:$F$26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A42" i="3" l="1"/>
  <c r="Y27" i="14"/>
  <c r="X27" i="14"/>
  <c r="Y28" i="14"/>
  <c r="Y23" i="14"/>
  <c r="AF7" i="2"/>
  <c r="AE7" i="2"/>
  <c r="AA41" i="3" l="1"/>
  <c r="AA40" i="3"/>
  <c r="AA39" i="3"/>
  <c r="AA89" i="3"/>
  <c r="AA88" i="3"/>
  <c r="AA87" i="3"/>
  <c r="AA86" i="3"/>
  <c r="V31" i="14" l="1"/>
  <c r="Y26" i="14"/>
  <c r="X26" i="14"/>
  <c r="Y25" i="14"/>
  <c r="X25" i="14"/>
  <c r="Y22" i="14"/>
  <c r="X22" i="14"/>
  <c r="Y21" i="14"/>
  <c r="X21" i="14"/>
  <c r="Y20" i="14"/>
  <c r="X20" i="14"/>
  <c r="Y19" i="14"/>
  <c r="X19" i="14"/>
  <c r="Y18" i="14"/>
  <c r="X18" i="14"/>
  <c r="Y17" i="14"/>
  <c r="X17" i="14"/>
  <c r="Y16" i="14"/>
  <c r="X16" i="14"/>
  <c r="Y15" i="14"/>
  <c r="X15" i="14"/>
  <c r="X14" i="14"/>
  <c r="X11" i="14"/>
  <c r="X10" i="14"/>
  <c r="X9" i="14"/>
  <c r="X8" i="14"/>
  <c r="X7" i="14"/>
  <c r="X6" i="14"/>
  <c r="V33" i="14" l="1"/>
  <c r="V35" i="14" s="1"/>
  <c r="G23" i="11" l="1"/>
  <c r="G7" i="11"/>
  <c r="G8" i="11"/>
  <c r="G9" i="11"/>
  <c r="G10" i="11"/>
  <c r="G11" i="11"/>
  <c r="G12" i="11"/>
  <c r="G6" i="11"/>
  <c r="F19" i="11"/>
  <c r="B7" i="11"/>
  <c r="B8" i="11" s="1"/>
  <c r="B9" i="11" s="1"/>
  <c r="B10" i="11" s="1"/>
  <c r="B11" i="11" s="1"/>
  <c r="B12" i="11" s="1"/>
  <c r="K34" i="9" l="1"/>
  <c r="K37" i="9" s="1"/>
  <c r="Z30" i="9"/>
  <c r="K30" i="9"/>
  <c r="K40" i="9" s="1"/>
  <c r="F30" i="9"/>
  <c r="D30" i="9"/>
  <c r="C30" i="9"/>
  <c r="I27" i="9"/>
  <c r="J27" i="9" s="1"/>
  <c r="K27" i="9" s="1"/>
  <c r="L27" i="9" s="1"/>
  <c r="M27" i="9" s="1"/>
  <c r="N27" i="9" s="1"/>
  <c r="O27" i="9" s="1"/>
  <c r="P27" i="9" s="1"/>
  <c r="Q27" i="9" s="1"/>
  <c r="R27" i="9" s="1"/>
  <c r="S27" i="9" s="1"/>
  <c r="T27" i="9" s="1"/>
  <c r="U27" i="9" s="1"/>
  <c r="V27" i="9" s="1"/>
  <c r="W27" i="9" s="1"/>
  <c r="X27" i="9" s="1"/>
  <c r="Y27" i="9" s="1"/>
  <c r="Z27" i="9" s="1"/>
  <c r="F13" i="9"/>
  <c r="F16" i="9" s="1"/>
  <c r="D13" i="9"/>
  <c r="D16" i="9" s="1"/>
  <c r="C13" i="9"/>
  <c r="C16" i="9" s="1"/>
  <c r="K10" i="9"/>
  <c r="K13" i="9" s="1"/>
  <c r="K16" i="9" s="1"/>
  <c r="Z8" i="9"/>
  <c r="Z11" i="9" s="1"/>
  <c r="Z13" i="9" s="1"/>
  <c r="Z15" i="9" s="1"/>
  <c r="Y6" i="9"/>
  <c r="Y30" i="9" s="1"/>
  <c r="X6" i="9"/>
  <c r="X30" i="9" s="1"/>
  <c r="W6" i="9"/>
  <c r="W30" i="9" s="1"/>
  <c r="V6" i="9"/>
  <c r="V8" i="9" s="1"/>
  <c r="V11" i="9" s="1"/>
  <c r="V13" i="9" s="1"/>
  <c r="V15" i="9" s="1"/>
  <c r="U6" i="9"/>
  <c r="T6" i="9"/>
  <c r="T8" i="9" s="1"/>
  <c r="T11" i="9" s="1"/>
  <c r="T13" i="9" s="1"/>
  <c r="T15" i="9" s="1"/>
  <c r="S6" i="9"/>
  <c r="S30" i="9" s="1"/>
  <c r="S32" i="9" s="1"/>
  <c r="R6" i="9"/>
  <c r="R30" i="9" s="1"/>
  <c r="R32" i="9" s="1"/>
  <c r="Q6" i="9"/>
  <c r="Q30" i="9" s="1"/>
  <c r="Q32" i="9" s="1"/>
  <c r="P6" i="9"/>
  <c r="P30" i="9" s="1"/>
  <c r="P32" i="9" s="1"/>
  <c r="O6" i="9"/>
  <c r="O8" i="9" s="1"/>
  <c r="O11" i="9" s="1"/>
  <c r="O15" i="9" s="1"/>
  <c r="N6" i="9"/>
  <c r="N30" i="9" s="1"/>
  <c r="M6" i="9"/>
  <c r="M30" i="9" s="1"/>
  <c r="L6" i="9"/>
  <c r="L10" i="9" s="1"/>
  <c r="L13" i="9" s="1"/>
  <c r="J6" i="9"/>
  <c r="J30" i="9" s="1"/>
  <c r="I6" i="9"/>
  <c r="I10" i="9" s="1"/>
  <c r="I13" i="9" s="1"/>
  <c r="H6" i="9"/>
  <c r="G6" i="9"/>
  <c r="G30" i="9" s="1"/>
  <c r="G37" i="9" s="1"/>
  <c r="B6" i="9"/>
  <c r="B13" i="9" s="1"/>
  <c r="B16" i="9" s="1"/>
  <c r="I3" i="9"/>
  <c r="J3" i="9" s="1"/>
  <c r="K3" i="9" s="1"/>
  <c r="L3" i="9" s="1"/>
  <c r="M3" i="9" s="1"/>
  <c r="N3" i="9" s="1"/>
  <c r="O3" i="9" s="1"/>
  <c r="P3" i="9" s="1"/>
  <c r="Q3" i="9" s="1"/>
  <c r="R3" i="9" s="1"/>
  <c r="S3" i="9" s="1"/>
  <c r="T3" i="9" s="1"/>
  <c r="U3" i="9" s="1"/>
  <c r="V3" i="9" s="1"/>
  <c r="W3" i="9" s="1"/>
  <c r="X3" i="9" s="1"/>
  <c r="Y3" i="9" s="1"/>
  <c r="Z3" i="9" s="1"/>
  <c r="H40" i="8"/>
  <c r="H36" i="8"/>
  <c r="G36" i="8"/>
  <c r="G40" i="8" s="1"/>
  <c r="E36" i="8"/>
  <c r="E40" i="8" s="1"/>
  <c r="AC30" i="8"/>
  <c r="AB30" i="8"/>
  <c r="AB7" i="8" s="1"/>
  <c r="AB8" i="8" s="1"/>
  <c r="AB11" i="8" s="1"/>
  <c r="AB13" i="8" s="1"/>
  <c r="AB15" i="8" s="1"/>
  <c r="AA30" i="8"/>
  <c r="AA7" i="8" s="1"/>
  <c r="Z30" i="8"/>
  <c r="Z7" i="8" s="1"/>
  <c r="Y30" i="8"/>
  <c r="Y7" i="8" s="1"/>
  <c r="X30" i="8"/>
  <c r="W30" i="8"/>
  <c r="W7" i="8" s="1"/>
  <c r="V30" i="8"/>
  <c r="V7" i="8" s="1"/>
  <c r="U30" i="8"/>
  <c r="U33" i="8" s="1"/>
  <c r="U36" i="8" s="1"/>
  <c r="U38" i="8" s="1"/>
  <c r="T30" i="8"/>
  <c r="T7" i="8" s="1"/>
  <c r="S30" i="8"/>
  <c r="S7" i="8" s="1"/>
  <c r="R30" i="8"/>
  <c r="R7" i="8" s="1"/>
  <c r="Q30" i="8"/>
  <c r="P30" i="8"/>
  <c r="P7" i="8" s="1"/>
  <c r="P10" i="8" s="1"/>
  <c r="P13" i="8" s="1"/>
  <c r="P15" i="8" s="1"/>
  <c r="O30" i="8"/>
  <c r="O7" i="8" s="1"/>
  <c r="O10" i="8" s="1"/>
  <c r="O13" i="8" s="1"/>
  <c r="N30" i="8"/>
  <c r="N7" i="8" s="1"/>
  <c r="N10" i="8" s="1"/>
  <c r="N13" i="8" s="1"/>
  <c r="M30" i="8"/>
  <c r="M33" i="8" s="1"/>
  <c r="M36" i="8" s="1"/>
  <c r="L30" i="8"/>
  <c r="L33" i="8" s="1"/>
  <c r="L36" i="8" s="1"/>
  <c r="K30" i="8"/>
  <c r="K33" i="8" s="1"/>
  <c r="K36" i="8" s="1"/>
  <c r="J30" i="8"/>
  <c r="J33" i="8" s="1"/>
  <c r="J36" i="8" s="1"/>
  <c r="I30" i="8"/>
  <c r="I36" i="8" s="1"/>
  <c r="D30" i="8"/>
  <c r="C30" i="8"/>
  <c r="B30" i="8"/>
  <c r="B7" i="8" s="1"/>
  <c r="H27" i="8"/>
  <c r="I27" i="8" s="1"/>
  <c r="J27" i="8" s="1"/>
  <c r="K27" i="8" s="1"/>
  <c r="L27" i="8" s="1"/>
  <c r="M27" i="8" s="1"/>
  <c r="N27" i="8" s="1"/>
  <c r="O27" i="8" s="1"/>
  <c r="P27" i="8" s="1"/>
  <c r="Q27" i="8" s="1"/>
  <c r="R27" i="8" s="1"/>
  <c r="S27" i="8" s="1"/>
  <c r="T27" i="8" s="1"/>
  <c r="U27" i="8" s="1"/>
  <c r="V27" i="8" s="1"/>
  <c r="W27" i="8" s="1"/>
  <c r="X27" i="8" s="1"/>
  <c r="Y27" i="8" s="1"/>
  <c r="Z27" i="8" s="1"/>
  <c r="AA27" i="8" s="1"/>
  <c r="AB27" i="8" s="1"/>
  <c r="AC27" i="8" s="1"/>
  <c r="D27" i="8"/>
  <c r="E27" i="8" s="1"/>
  <c r="C27" i="8"/>
  <c r="H7" i="8"/>
  <c r="H13" i="8" s="1"/>
  <c r="G7" i="8"/>
  <c r="G13" i="8" s="1"/>
  <c r="E7" i="8"/>
  <c r="H4" i="8"/>
  <c r="I4" i="8" s="1"/>
  <c r="J4" i="8" s="1"/>
  <c r="K4" i="8" s="1"/>
  <c r="L4" i="8" s="1"/>
  <c r="M4" i="8" s="1"/>
  <c r="N4" i="8" s="1"/>
  <c r="O4" i="8" s="1"/>
  <c r="P4" i="8" s="1"/>
  <c r="Q4" i="8" s="1"/>
  <c r="R4" i="8" s="1"/>
  <c r="S4" i="8" s="1"/>
  <c r="T4" i="8" s="1"/>
  <c r="U4" i="8" s="1"/>
  <c r="V4" i="8" s="1"/>
  <c r="W4" i="8" s="1"/>
  <c r="X4" i="8" s="1"/>
  <c r="Y4" i="8" s="1"/>
  <c r="Z4" i="8" s="1"/>
  <c r="AA4" i="8" s="1"/>
  <c r="AB4" i="8" s="1"/>
  <c r="AC4" i="8" s="1"/>
  <c r="C4" i="8"/>
  <c r="D4" i="8" s="1"/>
  <c r="E4" i="8" s="1"/>
  <c r="J7" i="8" l="1"/>
  <c r="M7" i="8"/>
  <c r="M10" i="8" s="1"/>
  <c r="M13" i="8" s="1"/>
  <c r="R8" i="9"/>
  <c r="L7" i="8"/>
  <c r="L10" i="8" s="1"/>
  <c r="L13" i="8" s="1"/>
  <c r="G13" i="9"/>
  <c r="G16" i="9" s="1"/>
  <c r="I16" i="9"/>
  <c r="K7" i="8"/>
  <c r="K10" i="8" s="1"/>
  <c r="K13" i="8" s="1"/>
  <c r="I7" i="8"/>
  <c r="I13" i="8" s="1"/>
  <c r="W8" i="9"/>
  <c r="W11" i="9" s="1"/>
  <c r="W13" i="9" s="1"/>
  <c r="W15" i="9" s="1"/>
  <c r="W8" i="8"/>
  <c r="W11" i="8" s="1"/>
  <c r="W13" i="8" s="1"/>
  <c r="W15" i="8" s="1"/>
  <c r="P8" i="9"/>
  <c r="P11" i="9" s="1"/>
  <c r="P15" i="9" s="1"/>
  <c r="O30" i="9"/>
  <c r="O32" i="9" s="1"/>
  <c r="O35" i="9" s="1"/>
  <c r="O39" i="9" s="1"/>
  <c r="Z8" i="8"/>
  <c r="Z11" i="8" s="1"/>
  <c r="Z13" i="8" s="1"/>
  <c r="Z15" i="8" s="1"/>
  <c r="T16" i="9"/>
  <c r="X8" i="9"/>
  <c r="X11" i="9" s="1"/>
  <c r="X13" i="9" s="1"/>
  <c r="X15" i="9" s="1"/>
  <c r="N17" i="8"/>
  <c r="T30" i="9"/>
  <c r="T32" i="9" s="1"/>
  <c r="T35" i="9" s="1"/>
  <c r="T37" i="9" s="1"/>
  <c r="T39" i="9" s="1"/>
  <c r="B30" i="9"/>
  <c r="B37" i="9" s="1"/>
  <c r="B40" i="9" s="1"/>
  <c r="Y8" i="9"/>
  <c r="Y11" i="9" s="1"/>
  <c r="Y13" i="9" s="1"/>
  <c r="Y15" i="9" s="1"/>
  <c r="H13" i="9"/>
  <c r="H16" i="9" s="1"/>
  <c r="H30" i="9"/>
  <c r="V16" i="9"/>
  <c r="J34" i="9"/>
  <c r="J37" i="9" s="1"/>
  <c r="W32" i="9"/>
  <c r="W35" i="9" s="1"/>
  <c r="W37" i="9" s="1"/>
  <c r="W39" i="9" s="1"/>
  <c r="S35" i="9"/>
  <c r="S39" i="9" s="1"/>
  <c r="S40" i="9" s="1"/>
  <c r="U8" i="9"/>
  <c r="U11" i="9" s="1"/>
  <c r="U13" i="9" s="1"/>
  <c r="U15" i="9" s="1"/>
  <c r="U30" i="9"/>
  <c r="Q35" i="9"/>
  <c r="Q39" i="9" s="1"/>
  <c r="R35" i="9"/>
  <c r="R39" i="9" s="1"/>
  <c r="X32" i="9"/>
  <c r="X35" i="9" s="1"/>
  <c r="X37" i="9" s="1"/>
  <c r="X39" i="9" s="1"/>
  <c r="M34" i="9"/>
  <c r="M37" i="9" s="1"/>
  <c r="P35" i="9"/>
  <c r="P39" i="9" s="1"/>
  <c r="Y32" i="9"/>
  <c r="Y35" i="9" s="1"/>
  <c r="Y37" i="9" s="1"/>
  <c r="Y39" i="9" s="1"/>
  <c r="N34" i="9"/>
  <c r="N37" i="9" s="1"/>
  <c r="O16" i="9"/>
  <c r="J10" i="9"/>
  <c r="I30" i="9"/>
  <c r="Q8" i="9"/>
  <c r="Q11" i="9" s="1"/>
  <c r="Q15" i="9" s="1"/>
  <c r="V30" i="9"/>
  <c r="C37" i="9"/>
  <c r="C40" i="9" s="1"/>
  <c r="G40" i="9"/>
  <c r="D37" i="9"/>
  <c r="D40" i="9" s="1"/>
  <c r="S8" i="9"/>
  <c r="S11" i="9" s="1"/>
  <c r="S15" i="9" s="1"/>
  <c r="M10" i="9"/>
  <c r="M13" i="9" s="1"/>
  <c r="L30" i="9"/>
  <c r="F37" i="9"/>
  <c r="F40" i="9" s="1"/>
  <c r="L16" i="9"/>
  <c r="Z16" i="9"/>
  <c r="N10" i="9"/>
  <c r="N13" i="9" s="1"/>
  <c r="Z32" i="9"/>
  <c r="Z35" i="9" s="1"/>
  <c r="Z37" i="9" s="1"/>
  <c r="Z39" i="9" s="1"/>
  <c r="V8" i="8"/>
  <c r="V11" i="8" s="1"/>
  <c r="V13" i="8" s="1"/>
  <c r="V15" i="8" s="1"/>
  <c r="Y8" i="8"/>
  <c r="Y11" i="8" s="1"/>
  <c r="P17" i="8"/>
  <c r="B13" i="8"/>
  <c r="B17" i="8" s="1"/>
  <c r="R10" i="8"/>
  <c r="R13" i="8" s="1"/>
  <c r="R15" i="8" s="1"/>
  <c r="AA8" i="8"/>
  <c r="AA11" i="8" s="1"/>
  <c r="AA13" i="8" s="1"/>
  <c r="AB17" i="8"/>
  <c r="S10" i="8"/>
  <c r="S13" i="8" s="1"/>
  <c r="S15" i="8" s="1"/>
  <c r="S17" i="8"/>
  <c r="O17" i="8"/>
  <c r="T10" i="8"/>
  <c r="T13" i="8" s="1"/>
  <c r="T15" i="8" s="1"/>
  <c r="V31" i="8"/>
  <c r="V34" i="8" s="1"/>
  <c r="V36" i="8" s="1"/>
  <c r="V38" i="8" s="1"/>
  <c r="N33" i="8"/>
  <c r="N36" i="8" s="1"/>
  <c r="W31" i="8"/>
  <c r="W34" i="8" s="1"/>
  <c r="W36" i="8" s="1"/>
  <c r="W38" i="8" s="1"/>
  <c r="O33" i="8"/>
  <c r="O36" i="8" s="1"/>
  <c r="X31" i="8"/>
  <c r="X34" i="8" s="1"/>
  <c r="X36" i="8" s="1"/>
  <c r="X38" i="8" s="1"/>
  <c r="P33" i="8"/>
  <c r="P36" i="8" s="1"/>
  <c r="P38" i="8" s="1"/>
  <c r="Y31" i="8"/>
  <c r="Y34" i="8" s="1"/>
  <c r="Y36" i="8" s="1"/>
  <c r="Y38" i="8" s="1"/>
  <c r="Q33" i="8"/>
  <c r="Q36" i="8" s="1"/>
  <c r="Q38" i="8" s="1"/>
  <c r="I40" i="8"/>
  <c r="U40" i="8"/>
  <c r="Z31" i="8"/>
  <c r="Z34" i="8" s="1"/>
  <c r="Z36" i="8" s="1"/>
  <c r="Z38" i="8" s="1"/>
  <c r="R33" i="8"/>
  <c r="R36" i="8" s="1"/>
  <c r="R38" i="8" s="1"/>
  <c r="B36" i="8"/>
  <c r="B40" i="8" s="1"/>
  <c r="J40" i="8"/>
  <c r="X7" i="8"/>
  <c r="AA31" i="8"/>
  <c r="AA34" i="8" s="1"/>
  <c r="AA36" i="8" s="1"/>
  <c r="AA38" i="8" s="1"/>
  <c r="S33" i="8"/>
  <c r="S36" i="8" s="1"/>
  <c r="S38" i="8" s="1"/>
  <c r="C36" i="8"/>
  <c r="C40" i="8" s="1"/>
  <c r="K40" i="8"/>
  <c r="AB31" i="8"/>
  <c r="AB34" i="8" s="1"/>
  <c r="AB36" i="8" s="1"/>
  <c r="AB38" i="8" s="1"/>
  <c r="T33" i="8"/>
  <c r="T36" i="8" s="1"/>
  <c r="T38" i="8" s="1"/>
  <c r="D36" i="8"/>
  <c r="D40" i="8" s="1"/>
  <c r="L40" i="8"/>
  <c r="G17" i="8"/>
  <c r="H17" i="8"/>
  <c r="U7" i="8"/>
  <c r="AC31" i="8"/>
  <c r="AC34" i="8" s="1"/>
  <c r="AC36" i="8" s="1"/>
  <c r="AC38" i="8" s="1"/>
  <c r="M40" i="8"/>
  <c r="L17" i="8"/>
  <c r="E13" i="8"/>
  <c r="E17" i="8" s="1"/>
  <c r="M17" i="8"/>
  <c r="J10" i="8"/>
  <c r="J13" i="8" s="1"/>
  <c r="C7" i="8"/>
  <c r="D7" i="8"/>
  <c r="Q7" i="8"/>
  <c r="AC7" i="8"/>
  <c r="Y16" i="9" l="1"/>
  <c r="I17" i="8"/>
  <c r="R11" i="9"/>
  <c r="R15" i="9" s="1"/>
  <c r="R16" i="9"/>
  <c r="Y13" i="8"/>
  <c r="Y15" i="8" s="1"/>
  <c r="Y17" i="8"/>
  <c r="AA15" i="8"/>
  <c r="AA17" i="8"/>
  <c r="W16" i="9"/>
  <c r="P16" i="9"/>
  <c r="K17" i="8"/>
  <c r="R40" i="9"/>
  <c r="Z17" i="8"/>
  <c r="Q40" i="9"/>
  <c r="Y40" i="8"/>
  <c r="AB40" i="8"/>
  <c r="Z40" i="9"/>
  <c r="N40" i="8"/>
  <c r="S16" i="9"/>
  <c r="U16" i="9"/>
  <c r="Q16" i="9"/>
  <c r="T17" i="8"/>
  <c r="S40" i="8"/>
  <c r="V40" i="8"/>
  <c r="AC40" i="8"/>
  <c r="V17" i="8"/>
  <c r="N40" i="9"/>
  <c r="J40" i="9"/>
  <c r="T40" i="9"/>
  <c r="X16" i="9"/>
  <c r="Q40" i="8"/>
  <c r="P40" i="8"/>
  <c r="AA40" i="8"/>
  <c r="X40" i="8"/>
  <c r="R17" i="8"/>
  <c r="M16" i="9"/>
  <c r="P40" i="9"/>
  <c r="O40" i="9"/>
  <c r="W17" i="8"/>
  <c r="V32" i="9"/>
  <c r="V35" i="9" s="1"/>
  <c r="V37" i="9" s="1"/>
  <c r="V39" i="9" s="1"/>
  <c r="L34" i="9"/>
  <c r="L37" i="9" s="1"/>
  <c r="J13" i="9"/>
  <c r="J16" i="9" s="1"/>
  <c r="W40" i="9"/>
  <c r="N16" i="9"/>
  <c r="H37" i="9"/>
  <c r="H40" i="9" s="1"/>
  <c r="I34" i="9"/>
  <c r="I37" i="9" s="1"/>
  <c r="X40" i="9"/>
  <c r="Y40" i="9"/>
  <c r="U32" i="9"/>
  <c r="U35" i="9" s="1"/>
  <c r="U37" i="9" s="1"/>
  <c r="U39" i="9" s="1"/>
  <c r="M40" i="9"/>
  <c r="C13" i="8"/>
  <c r="C17" i="8" s="1"/>
  <c r="R40" i="8"/>
  <c r="Z40" i="8"/>
  <c r="AC8" i="8"/>
  <c r="AC11" i="8" s="1"/>
  <c r="AC13" i="8" s="1"/>
  <c r="AC15" i="8" s="1"/>
  <c r="T40" i="8"/>
  <c r="W40" i="8"/>
  <c r="J17" i="8"/>
  <c r="U10" i="8"/>
  <c r="U13" i="8" s="1"/>
  <c r="U15" i="8" s="1"/>
  <c r="X8" i="8"/>
  <c r="X11" i="8" s="1"/>
  <c r="X13" i="8" s="1"/>
  <c r="X15" i="8" s="1"/>
  <c r="O40" i="8"/>
  <c r="Q10" i="8"/>
  <c r="Q13" i="8" s="1"/>
  <c r="Q15" i="8" s="1"/>
  <c r="D13" i="8"/>
  <c r="D17" i="8" s="1"/>
  <c r="I40" i="9" l="1"/>
  <c r="U40" i="9"/>
  <c r="L40" i="9"/>
  <c r="V40" i="9"/>
  <c r="U17" i="8"/>
  <c r="AC17" i="8"/>
  <c r="Q17" i="8"/>
  <c r="X1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8" authorId="0" shapeId="0" xr:uid="{520978D3-7AE6-4C5C-90FA-283421CCD75C}">
      <text>
        <r>
          <rPr>
            <b/>
            <sz val="9"/>
            <color indexed="81"/>
            <rFont val="Tahoma"/>
            <family val="2"/>
          </rPr>
          <t>user:</t>
        </r>
        <r>
          <rPr>
            <sz val="9"/>
            <color indexed="81"/>
            <rFont val="Tahoma"/>
            <family val="2"/>
          </rPr>
          <t xml:space="preserve">
Measurement field TBD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tc={2F4AE91B-EDCA-4D56-AF93-BEBF66C6872F}</author>
    <author>tc={DA85A988-B3F3-4811-A23C-734F9B3BF81E}</author>
    <author>tc={4BBDC28E-9800-4775-A321-78DF488C9AF4}</author>
    <author>tc={FCCA8653-E899-4018-8C76-F3118ABC06E1}</author>
    <author>tc={0C957A00-5ADB-4948-A3B7-92F42702AFDE}</author>
    <author>tc={4B006DF6-667E-4717-87BD-05DF0974690D}</author>
    <author>tc={98B3C631-A34E-4CB5-BEA4-36E384C491D7}</author>
    <author>tc={D7D2C386-ECA2-497C-BC59-3C866162396A}</author>
    <author>tc={C8F3ABA6-641E-46D1-B1AE-3AA38D1C73E6}</author>
    <author>tc={AE231DD7-0278-410C-A6E3-80101F9A58C8}</author>
    <author>tc={BA197E70-3335-4D84-A02E-AF620A85A9B2}</author>
  </authors>
  <commentList>
    <comment ref="Y4" authorId="0" shapeId="0" xr:uid="{2F4AE91B-EDCA-4D56-AF93-BEBF66C6872F}">
      <text>
        <t>[Threaded comment]
Your version of Excel allows you to read this threaded comment; however, any edits to it will get removed if the file is opened in a newer version of Excel. Learn more: https://go.microsoft.com/fwlink/?linkid=870924
Comment:
    In gilt rearing FCE alerts are not relevant - although we would like to track it
Reply:
    Consider cumulative per month and then monthly summaries per the entire gilt rearing phase</t>
      </text>
    </comment>
    <comment ref="Z4" authorId="1" shapeId="0" xr:uid="{DA85A988-B3F3-4811-A23C-734F9B3BF81E}">
      <text>
        <t>[Threaded comment]
Your version of Excel allows you to read this threaded comment; however, any edits to it will get removed if the file is opened in a newer version of Excel. Learn more: https://go.microsoft.com/fwlink/?linkid=870924
Comment:
    Any gilt mortality should be alerted - no % for this stage as data set too small to run reasonable %’s however we need to take note of any mortality and the reasons in this stage</t>
      </text>
    </comment>
    <comment ref="AB4" authorId="2" shapeId="0" xr:uid="{4BBDC28E-9800-4775-A321-78DF488C9AF4}">
      <text>
        <t xml:space="preserve">[Threaded comment]
Your version of Excel allows you to read this threaded comment; however, any edits to it will get removed if the file is opened in a newer version of Excel. Learn more: https://go.microsoft.com/fwlink/?linkid=870924
Comment:
    See sample sheet - Sample 10, 16 and 27 week variation </t>
      </text>
    </comment>
    <comment ref="AJ4" authorId="3" shapeId="0" xr:uid="{FCCA8653-E899-4018-8C76-F3118ABC06E1}">
      <text>
        <t>[Threaded comment]
Your version of Excel allows you to read this threaded comment; however, any edits to it will get removed if the file is opened in a newer version of Excel. Learn more: https://go.microsoft.com/fwlink/?linkid=870924
Comment:
    See medication table</t>
      </text>
    </comment>
    <comment ref="AP4" authorId="4" shapeId="0" xr:uid="{0C957A00-5ADB-4948-A3B7-92F42702AFDE}">
      <text>
        <t>[Threaded comment]
Your version of Excel allows you to read this threaded comment; however, any edits to it will get removed if the file is opened in a newer version of Excel. Learn more: https://go.microsoft.com/fwlink/?linkid=870924
Comment:
    Comments, notes and instructions change - So make this a section that is editable by farm manager and GM</t>
      </text>
    </comment>
    <comment ref="T6" authorId="5" shapeId="0" xr:uid="{4B006DF6-667E-4717-87BD-05DF0974690D}">
      <text>
        <t xml:space="preserve">[Threaded comment]
Your version of Excel allows you to read this threaded comment; however, any edits to it will get removed if the file is opened in a newer version of Excel. Learn more: https://go.microsoft.com/fwlink/?linkid=870924
Comment:
    There is no specific period as diets are changed or held onto based on weights </t>
      </text>
    </comment>
    <comment ref="AB6" authorId="6" shapeId="0" xr:uid="{98B3C631-A34E-4CB5-BEA4-36E384C491D7}">
      <text>
        <t xml:space="preserve">[Threaded comment]
Your version of Excel allows you to read this threaded comment; however, any edits to it will get removed if the file is opened in a newer version of Excel. Learn more: https://go.microsoft.com/fwlink/?linkid=870924
Comment:
    See sample sheet - Sample 10, 16 and 27 week variation </t>
      </text>
    </comment>
    <comment ref="T15" authorId="7" shapeId="0" xr:uid="{D7D2C386-ECA2-497C-BC59-3C866162396A}">
      <text>
        <t xml:space="preserve">[Threaded comment]
Your version of Excel allows you to read this threaded comment; however, any edits to it will get removed if the file is opened in a newer version of Excel. Learn more: https://go.microsoft.com/fwlink/?linkid=870924
Comment:
    There is no specific period as diets are changed or held onto based on weights </t>
      </text>
    </comment>
    <comment ref="AA30" authorId="8" shapeId="0" xr:uid="{C8F3ABA6-641E-46D1-B1AE-3AA38D1C73E6}">
      <text>
        <t xml:space="preserve">[Threaded comment]
Your version of Excel allows you to read this threaded comment; however, any edits to it will get removed if the file is opened in a newer version of Excel. Learn more: https://go.microsoft.com/fwlink/?linkid=870924
Comment:
    We need an alert to send gilt to the service line. Considerations based on her 24 to 27 week ADG, that she will be minimum in the service line for 10 days, that she will be minimum 30 weeks old and minimum entry service weight based on target range </t>
      </text>
    </comment>
    <comment ref="AD30" authorId="9" shapeId="0" xr:uid="{AE231DD7-0278-410C-A6E3-80101F9A58C8}">
      <text>
        <t>[Threaded comment]
Your version of Excel allows you to read this threaded comment; however, any edits to it will get removed if the file is opened in a newer version of Excel. Learn more: https://go.microsoft.com/fwlink/?linkid=870924
Comment:
    Add the range</t>
      </text>
    </comment>
    <comment ref="AC39" authorId="10" shapeId="0" xr:uid="{BA197E70-3335-4D84-A02E-AF620A85A9B2}">
      <text>
        <t>[Threaded comment]
Your version of Excel allows you to read this threaded comment; however, any edits to it will get removed if the file is opened in a newer version of Excel. Learn more: https://go.microsoft.com/fwlink/?linkid=870924
Comment:
    Gilt service target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tc={426B628F-F116-4CD5-88A1-BC50DBDAFDB9}</author>
    <author>tc={8E82196A-3E47-4B92-AC87-923A8A0AD74D}</author>
    <author>tc={CEAF5C90-4E01-4539-A2A9-B344E45C1C91}</author>
    <author>tc={CF346133-B352-4337-B954-9B2363476923}</author>
    <author>tc={D3884F45-635F-4331-9DAB-00665D59C155}</author>
    <author>tc={8761415D-58CE-4907-A7BB-9CA419BCCF3A}</author>
    <author>tc={C0CF3356-4B95-47E9-B567-A95166C907C6}</author>
    <author>tc={5DDF0941-B787-478A-9147-545C1C2611EA}</author>
    <author>tc={2433A027-88D3-4ED6-BADE-90CC41B2508D}</author>
    <author>tc={C144E625-38BC-4378-B210-7B0D8EF44401}</author>
    <author>tc={4515A46E-ED40-4C6A-AB0A-7310F4DE1F19}</author>
    <author>tc={D05A20BB-FEE4-4922-8F15-1D06EA667D3E}</author>
    <author>tc={46B3C7E6-79DA-432F-B52E-C373BB3187EC}</author>
    <author>tc={64E14DD5-9C6B-42E8-A530-E73DBF3C00AA}</author>
    <author>tc={4B3C6E83-85D3-462F-B64B-44AA8D94234B}</author>
    <author>tc={04551A8E-5586-4273-8F5E-E92D57686525}</author>
    <author>tc={5809E432-A51F-42B8-BDCF-28E28ACA97B2}</author>
    <author>tc={0AACC1A0-D89C-4F2C-BF86-CFE47A51FB3F}</author>
    <author>tc={6357D954-D1BA-4282-A7F9-364A89206F65}</author>
    <author>tc={15447164-56F4-4D8B-ACDA-BE80BF4E239D}</author>
    <author>tc={4A7C85D0-4585-4A41-AD17-E644967D63F4}</author>
    <author>tc={088909D5-3CEA-4FD9-AA56-CE98C4E51DE1}</author>
    <author>tc={FC237FF9-D10B-49DC-990B-1F2D743AC79B}</author>
    <author>tc={0CB4EFF5-2300-4C59-9DC3-D45F8A552F67}</author>
    <author>tc={79CD9B93-A6F0-457F-9384-E66C7877FF07}</author>
    <author>tc={AE43A445-AE8F-4E38-89F5-B3D50796E32E}</author>
    <author>tc={5A2B36BD-0FA1-4AEF-9ADB-F4FBF8BACE50}</author>
    <author>tc={D8290539-554C-4539-8F11-0B0AF06F1585}</author>
    <author>tc={46D1745B-C90D-4582-BFC4-AD518098324F}</author>
    <author>tc={B1395D96-A62B-4D6D-B17F-E05EC09BD294}</author>
    <author>tc={CF9F5566-A146-4CC3-B549-90D9B5B5BB83}</author>
    <author>tc={407B503E-1E27-4954-98C7-277BD0E46283}</author>
    <author>tc={35CEF78F-9013-4FA0-A207-11A574A2EDD3}</author>
    <author>tc={281D7D16-5854-419E-AC81-C8410F5F07FC}</author>
    <author>tc={EAD4EB26-165C-4FA4-BB15-223ACF7850DF}</author>
    <author>tc={98942C8F-3A37-42B5-961B-0886E394A825}</author>
    <author>tc={55DE47A6-4FA4-45E4-8A98-3BC4620CBE95}</author>
    <author>tc={8F48001D-CCA9-43EF-A52F-A13E83597177}</author>
    <author>tc={763C1461-DBCA-4DDA-8780-12B428A41BE6}</author>
    <author>tc={97EEF62E-944F-41C8-8C3F-61F0D14208C3}</author>
    <author>tc={77E1F520-0ACF-496A-9D6D-2D987123A6FD}</author>
    <author>tc={48FDB245-C99E-4948-827C-7BDD4C504652}</author>
    <author>tc={FA0C1089-3025-43E3-96EF-AB35866CE9CC}</author>
    <author>tc={9E7344AA-B632-47F2-9616-3DFCFED64384}</author>
    <author>tc={D5A9FB27-1F57-425C-B453-D7C2B0DB6A7A}</author>
    <author>tc={7861BFE2-4F7F-411C-987D-CEA7872D9173}</author>
    <author>tc={F4D574AB-9A3B-4885-A2C8-E7E0996F65A9}</author>
    <author>tc={48748C83-DE9C-4C5B-BB65-7D382065EAFC}</author>
    <author>tc={9005FF2A-0933-403F-93C9-FCC337C27894}</author>
    <author>tc={F44D4F10-F440-4C85-B7FB-E002B7EE2929}</author>
    <author>tc={C5189448-43FA-4C09-B338-A9B8E3B70A5D}</author>
    <author>tc={35E214F1-581A-4D65-ACE5-7CF59C85F855}</author>
    <author>tc={B6D5A89B-80BB-4958-B6C4-2CA58C6D39F3}</author>
    <author>tc={39F81900-DD27-48D0-B184-1DD126DE33B0}</author>
    <author>tc={BAC99D47-8CFD-4EAF-90CC-30DCAB31B0EA}</author>
    <author>tc={BA79721A-4226-4404-BD73-D530CDB8F209}</author>
    <author>tc={55DD625A-1C1B-4D5D-8AAA-1AF2A6CC5F26}</author>
    <author>tc={306FAB6A-858E-46AE-BDAD-D470D33BAB91}</author>
    <author>tc={7EF7EEA1-4A73-493D-827E-01BD4F2713A9}</author>
    <author>tc={68CC0C72-1FFE-4434-BB44-A091CBBF0DE7}</author>
    <author>tc={33E9F439-846C-40C5-AEB2-CF8CE2E5B94A}</author>
    <author>tc={25575579-9F3C-47B8-9DBA-3D2AE8CAC7FD}</author>
    <author>tc={CB847B1F-CB3F-47CB-A8E0-23835BE1F0EF}</author>
  </authors>
  <commentList>
    <comment ref="K5" authorId="0" shapeId="0" xr:uid="{426B628F-F116-4CD5-88A1-BC50DBDAFDB9}">
      <text>
        <t>[Threaded comment]
Your version of Excel allows you to read this threaded comment; however, any edits to it will get removed if the file is opened in a newer version of Excel. Learn more: https://go.microsoft.com/fwlink/?linkid=870924
Comment:
    Note each batch is housed in 2 different locations
Also note that the 1 location identified as M will house pigs from the same batches simultaneously therefore 2 sub-sub locations per batch</t>
      </text>
    </comment>
    <comment ref="G38" authorId="1" shapeId="0" xr:uid="{8E82196A-3E47-4B92-AC87-923A8A0AD74D}">
      <text>
        <t>[Threaded comment]
Your version of Excel allows you to read this threaded comment; however, any edits to it will get removed if the file is opened in a newer version of Excel. Learn more: https://go.microsoft.com/fwlink/?linkid=870924
Comment:
    Expected to farrow based on service week as well as service day - but the whole batch from a service week will move into the farrowing house</t>
      </text>
    </comment>
    <comment ref="H38" authorId="2" shapeId="0" xr:uid="{CEAF5C90-4E01-4539-A2A9-B344E45C1C91}">
      <text>
        <t>[Threaded comment]
Your version of Excel allows you to read this threaded comment; however, any edits to it will get removed if the file is opened in a newer version of Excel. Learn more: https://go.microsoft.com/fwlink/?linkid=870924
Comment:
    Every week there is a weaned batch based on the entire weeks batch that farrowed</t>
      </text>
    </comment>
    <comment ref="R38" authorId="3" shapeId="0" xr:uid="{CF346133-B352-4337-B954-9B2363476923}">
      <text>
        <t>[Threaded comment]
Your version of Excel allows you to read this threaded comment; however, any edits to it will get removed if the file is opened in a newer version of Excel. Learn more: https://go.microsoft.com/fwlink/?linkid=870924
Comment:
    As per Gilt Feed schedule - Farr page</t>
      </text>
    </comment>
    <comment ref="AA38" authorId="4" shapeId="0" xr:uid="{D3884F45-635F-4331-9DAB-00665D59C155}">
      <text>
        <t>[Threaded comment]
Your version of Excel allows you to read this threaded comment; however, any edits to it will get removed if the file is opened in a newer version of Excel. Learn more: https://go.microsoft.com/fwlink/?linkid=870924
Comment:
    TB of the gilts that farrowed - to be analyzed independently of other sows that farrowed</t>
      </text>
    </comment>
    <comment ref="AB38" authorId="5" shapeId="0" xr:uid="{8761415D-58CE-4907-A7BB-9CA419BCCF3A}">
      <text>
        <t>[Threaded comment]
Your version of Excel allows you to read this threaded comment; however, any edits to it will get removed if the file is opened in a newer version of Excel. Learn more: https://go.microsoft.com/fwlink/?linkid=870924
Comment:
    BA of the gilts to be analysed indepentantly of the other sows - both TB and BA to have drop down so as to just choose the number of TB, BA. BD and mummy</t>
      </text>
    </comment>
    <comment ref="AC38" authorId="6" shapeId="0" xr:uid="{C0CF3356-4B95-47E9-B567-A95166C907C6}">
      <text>
        <t xml:space="preserve">[Threaded comment]
Your version of Excel allows you to read this threaded comment; however, any edits to it will get removed if the file is opened in a newer version of Excel. Learn more: https://go.microsoft.com/fwlink/?linkid=870924
Comment:
    To be measured as both a % of born dead as well as an avg # against all gilts that farrowed
Reply:
    BD to also be split into 2 separate fields - Born deads are identified as piglets that were alive when the sow started farrowing and died during the farrowing process. Mummies are piglets that died sometime during pregnancy. </t>
      </text>
    </comment>
    <comment ref="AE38" authorId="7" shapeId="0" xr:uid="{5DDF0941-B787-478A-9147-545C1C2611EA}">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L38" authorId="8" shapeId="0" xr:uid="{2433A027-88D3-4ED6-BADE-90CC41B2508D}">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gilt mortality - if more than 2 gilt mortality's recorded in a batch there needs to be an alert. Mortality codes to link with pig expert, also drop down for reasons needed for independent analysis</t>
      </text>
    </comment>
    <comment ref="AN38" authorId="9" shapeId="0" xr:uid="{C144E625-38BC-4378-B210-7B0D8EF44401}">
      <text>
        <t>[Threaded comment]
Your version of Excel allows you to read this threaded comment; however, any edits to it will get removed if the file is opened in a newer version of Excel. Learn more: https://go.microsoft.com/fwlink/?linkid=870924
Comment:
    See sheet farrowing treatment - include piglet treatments</t>
      </text>
    </comment>
    <comment ref="X44" authorId="10" shapeId="0" xr:uid="{4515A46E-ED40-4C6A-AB0A-7310F4DE1F19}">
      <text>
        <t xml:space="preserve">[Threaded comment]
Your version of Excel allows you to read this threaded comment; however, any edits to it will get removed if the file is opened in a newer version of Excel. Learn more: https://go.microsoft.com/fwlink/?linkid=870924
Comment:
    We need to see the individual animal weight loss variation </t>
      </text>
    </comment>
    <comment ref="AI44" authorId="11" shapeId="0" xr:uid="{D05A20BB-FEE4-4922-8F15-1D06EA667D3E}">
      <text>
        <t xml:space="preserve">[Threaded comment]
Your version of Excel allows you to read this threaded comment; however, any edits to it will get removed if the file is opened in a newer version of Excel. Learn more: https://go.microsoft.com/fwlink/?linkid=870924
Comment:
    Gilts should have piglets fostered on to always wean as many piglets as there are teats, even if the BA is lower than the teat #
</t>
      </text>
    </comment>
    <comment ref="H50" authorId="12" shapeId="0" xr:uid="{46B3C7E6-79DA-432F-B52E-C373BB3187EC}">
      <text>
        <t>[Threaded comment]
Your version of Excel allows you to read this threaded comment; however, any edits to it will get removed if the file is opened in a newer version of Excel. Learn more: https://go.microsoft.com/fwlink/?linkid=870924
Comment:
    After the Wednesday an animal will now be considered a stand over</t>
      </text>
    </comment>
    <comment ref="S50" authorId="13" shapeId="0" xr:uid="{64E14DD5-9C6B-42E8-A530-E73DBF3C00AA}">
      <text>
        <t>[Threaded comment]
Your version of Excel allows you to read this threaded comment; however, any edits to it will get removed if the file is opened in a newer version of Excel. Learn more: https://go.microsoft.com/fwlink/?linkid=870924
Comment:
    This is the wean weight from farrowing</t>
      </text>
    </comment>
    <comment ref="AH50" authorId="14" shapeId="0" xr:uid="{4B3C6E83-85D3-462F-B64B-44AA8D94234B}">
      <text>
        <t xml:space="preserve">[Threaded comment]
Your version of Excel allows you to read this threaded comment; however, any edits to it will get removed if the file is opened in a newer version of Excel. Learn more: https://go.microsoft.com/fwlink/?linkid=870924
Comment:
    Alert of more than 2 second parity stand over
</t>
      </text>
    </comment>
    <comment ref="K52" authorId="15" shapeId="0" xr:uid="{04551A8E-5586-4273-8F5E-E92D57686525}">
      <text>
        <t>[Threaded comment]
Your version of Excel allows you to read this threaded comment; however, any edits to it will get removed if the file is opened in a newer version of Excel. Learn more: https://go.microsoft.com/fwlink/?linkid=870924
Comment:
    Note each batch is housed in 2 different locations
Also note that the 1 location identified as M will house pigs from the same batches simultaneously therefore 2 sub-sub locations per batch</t>
      </text>
    </comment>
    <comment ref="Q52" authorId="16" shapeId="0" xr:uid="{5809E432-A51F-42B8-BDCF-28E28ACA97B2}">
      <text>
        <t>[Threaded comment]
Your version of Excel allows you to read this threaded comment; however, any edits to it will get removed if the file is opened in a newer version of Excel. Learn more: https://go.microsoft.com/fwlink/?linkid=870924
Comment:
    SEE FEED IN GESTATION SHEET</t>
      </text>
    </comment>
    <comment ref="U52" authorId="17" shapeId="0" xr:uid="{0AACC1A0-D89C-4F2C-BF86-CFE47A51FB3F}">
      <text>
        <t xml:space="preserve">[Threaded comment]
Your version of Excel allows you to read this threaded comment; however, any edits to it will get removed if the file is opened in a newer version of Excel. Learn more: https://go.microsoft.com/fwlink/?linkid=870924
Comment:
    Gain for the phase more important than ADG </t>
      </text>
    </comment>
    <comment ref="Z52" authorId="18" shapeId="0" xr:uid="{6357D954-D1BA-4282-A7F9-364A89206F65}">
      <text>
        <t>[Threaded comment]
Your version of Excel allows you to read this threaded comment; however, any edits to it will get removed if the file is opened in a newer version of Excel. Learn more: https://go.microsoft.com/fwlink/?linkid=870924
Comment:
    Need alert if 2nd parity farrow rate drops below 90%</t>
      </text>
    </comment>
    <comment ref="AL52" authorId="19" shapeId="0" xr:uid="{15447164-56F4-4D8B-ACDA-BE80BF4E239D}">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E85" authorId="20" shapeId="0" xr:uid="{4A7C85D0-4585-4A41-AD17-E644967D63F4}">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G85" authorId="21" shapeId="0" xr:uid="{088909D5-3CEA-4FD9-AA56-CE98C4E51DE1}">
      <text>
        <t>[Threaded comment]
Your version of Excel allows you to read this threaded comment; however, any edits to it will get removed if the file is opened in a newer version of Excel. Learn more: https://go.microsoft.com/fwlink/?linkid=870924
Comment:
    TB of the 2nds that farrowed - to be analyzed independently of other sows that farrowed</t>
      </text>
    </comment>
    <comment ref="AL85" authorId="22" shapeId="0" xr:uid="{FC237FF9-D10B-49DC-990B-1F2D743AC79B}">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2nd parity mortality - if more than 2 2nd parity mortality's recorded in a batch there needs to be an alert. Mortality codes to link with pig expert, also drop down for reasons needed for independent analysis</t>
      </text>
    </comment>
    <comment ref="AN85" authorId="23" shapeId="0" xr:uid="{0CB4EFF5-2300-4C59-9DC3-D45F8A552F67}">
      <text>
        <t>[Threaded comment]
Your version of Excel allows you to read this threaded comment; however, any edits to it will get removed if the file is opened in a newer version of Excel. Learn more: https://go.microsoft.com/fwlink/?linkid=870924
Comment:
    This is the avg wean weight of the piglets - this is not always captured per individual animal but it is always captured for the whole herd - however we need the option to capture it individually for us to be able to analyse when we choose</t>
      </text>
    </comment>
    <comment ref="AO85" authorId="24" shapeId="0" xr:uid="{79CD9B93-A6F0-457F-9384-E66C7877FF07}">
      <text>
        <t>[Threaded comment]
Your version of Excel allows you to read this threaded comment; however, any edits to it will get removed if the file is opened in a newer version of Excel. Learn more: https://go.microsoft.com/fwlink/?linkid=870924
Comment:
    This is the total litter mass per gilt - weaned per sow x avg wean weight -we always capture this for the whole herd and not always as per individual animal however we need the option</t>
      </text>
    </comment>
    <comment ref="AK91" authorId="25" shapeId="0" xr:uid="{AE43A445-AE8F-4E38-89F5-B3D50796E32E}">
      <text>
        <t>[Threaded comment]
Your version of Excel allows you to read this threaded comment; however, any edits to it will get removed if the file is opened in a newer version of Excel. Learn more: https://go.microsoft.com/fwlink/?linkid=870924
Comment:
    This is the weight of the 2nd parity after she has farrowed. The formula is - weight into farrowing less Total Born x 1.3 - 8.9 - this maternal body weight is needed when we calculate her maternal body weight loss as a % when she weans</t>
      </text>
    </comment>
    <comment ref="H97" authorId="26" shapeId="0" xr:uid="{5A2B36BD-0FA1-4AEF-9ADB-F4FBF8BACE50}">
      <text>
        <t>[Threaded comment]
Your version of Excel allows you to read this threaded comment; however, any edits to it will get removed if the file is opened in a newer version of Excel. Learn more: https://go.microsoft.com/fwlink/?linkid=870924
Comment:
    After the Wednesday an animal will now be considered a stand over
Reply:
    We need a cull indicator on 3rd parity plus</t>
      </text>
    </comment>
    <comment ref="K99" authorId="27" shapeId="0" xr:uid="{D8290539-554C-4539-8F11-0B0AF06F1585}">
      <text>
        <t>[Threaded comment]
Your version of Excel allows you to read this threaded comment; however, any edits to it will get removed if the file is opened in a newer version of Excel. Learn more: https://go.microsoft.com/fwlink/?linkid=870924
Comment:
    Note each batch is housed in 2 different locations
Also note that the 1 location identified as M will house pigs from the same batches simultaneously therefore 2 sub-sub locations per batch</t>
      </text>
    </comment>
    <comment ref="Q99" authorId="28" shapeId="0" xr:uid="{46D1745B-C90D-4582-BFC4-AD518098324F}">
      <text>
        <t>[Threaded comment]
Your version of Excel allows you to read this threaded comment; however, any edits to it will get removed if the file is opened in a newer version of Excel. Learn more: https://go.microsoft.com/fwlink/?linkid=870924
Comment:
    SEE FEED IN GESTATION SHEET</t>
      </text>
    </comment>
    <comment ref="AL99" authorId="29" shapeId="0" xr:uid="{B1395D96-A62B-4D6D-B17F-E05EC09BD294}">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00" authorId="30" shapeId="0" xr:uid="{CF9F5566-A146-4CC3-B549-90D9B5B5BB8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01" authorId="31" shapeId="0" xr:uid="{407B503E-1E27-4954-98C7-277BD0E4628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02" authorId="32" shapeId="0" xr:uid="{35CEF78F-9013-4FA0-A207-11A574A2EDD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03" authorId="33" shapeId="0" xr:uid="{281D7D16-5854-419E-AC81-C8410F5F07FC}">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04" authorId="34" shapeId="0" xr:uid="{EAD4EB26-165C-4FA4-BB15-223ACF7850DF}">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05" authorId="35" shapeId="0" xr:uid="{98942C8F-3A37-42B5-961B-0886E394A825}">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06" authorId="36" shapeId="0" xr:uid="{55DE47A6-4FA4-45E4-8A98-3BC4620CBE95}">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07" authorId="37" shapeId="0" xr:uid="{8F48001D-CCA9-43EF-A52F-A13E83597177}">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08" authorId="38" shapeId="0" xr:uid="{763C1461-DBCA-4DDA-8780-12B428A41BE6}">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09" authorId="39" shapeId="0" xr:uid="{97EEF62E-944F-41C8-8C3F-61F0D14208C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10" authorId="40" shapeId="0" xr:uid="{77E1F520-0ACF-496A-9D6D-2D987123A6FD}">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11" authorId="41" shapeId="0" xr:uid="{48FDB245-C99E-4948-827C-7BDD4C504652}">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12" authorId="42" shapeId="0" xr:uid="{FA0C1089-3025-43E3-96EF-AB35866CE9CC}">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13" authorId="43" shapeId="0" xr:uid="{9E7344AA-B632-47F2-9616-3DFCFED64384}">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14" authorId="44" shapeId="0" xr:uid="{D5A9FB27-1F57-425C-B453-D7C2B0DB6A7A}">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15" authorId="45" shapeId="0" xr:uid="{7861BFE2-4F7F-411C-987D-CEA7872D917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16" authorId="46" shapeId="0" xr:uid="{F4D574AB-9A3B-4885-A2C8-E7E0996F65A9}">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17" authorId="47" shapeId="0" xr:uid="{48748C83-DE9C-4C5B-BB65-7D382065EAFC}">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18" authorId="48" shapeId="0" xr:uid="{9005FF2A-0933-403F-93C9-FCC337C27894}">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19" authorId="49" shapeId="0" xr:uid="{F44D4F10-F440-4C85-B7FB-E002B7EE2929}">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20" authorId="50" shapeId="0" xr:uid="{C5189448-43FA-4C09-B338-A9B8E3B70A5D}">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21" authorId="51" shapeId="0" xr:uid="{35E214F1-581A-4D65-ACE5-7CF59C85F855}">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22" authorId="52" shapeId="0" xr:uid="{B6D5A89B-80BB-4958-B6C4-2CA58C6D39F3}">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23" authorId="53" shapeId="0" xr:uid="{39F81900-DD27-48D0-B184-1DD126DE33B0}">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24" authorId="54" shapeId="0" xr:uid="{BAC99D47-8CFD-4EAF-90CC-30DCAB31B0EA}">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25" authorId="55" shapeId="0" xr:uid="{BA79721A-4226-4404-BD73-D530CDB8F209}">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26" authorId="56" shapeId="0" xr:uid="{55DD625A-1C1B-4D5D-8AAA-1AF2A6CC5F26}">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27" authorId="57" shapeId="0" xr:uid="{306FAB6A-858E-46AE-BDAD-D470D33BAB91}">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28" authorId="58" shapeId="0" xr:uid="{7EF7EEA1-4A73-493D-827E-01BD4F2713A9}">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29" authorId="59" shapeId="0" xr:uid="{68CC0C72-1FFE-4434-BB44-A091CBBF0DE7}">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L130" authorId="60" shapeId="0" xr:uid="{33E9F439-846C-40C5-AEB2-CF8CE2E5B94A}">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E132" authorId="61" shapeId="0" xr:uid="{25575579-9F3C-47B8-9DBA-3D2AE8CAC7FD}">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L132" authorId="62" shapeId="0" xr:uid="{CB847B1F-CB3F-47CB-A8E0-23835BE1F0EF}">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2nd parity mortality - if more than 2 2nd parity mortality's recorded in a batch there needs to be an alert. Mortality codes to link with pig expert, also drop down for reasons needed for independent analysis</t>
      </text>
    </comment>
  </commentList>
</comments>
</file>

<file path=xl/sharedStrings.xml><?xml version="1.0" encoding="utf-8"?>
<sst xmlns="http://schemas.openxmlformats.org/spreadsheetml/2006/main" count="7387" uniqueCount="760">
  <si>
    <t>Field Name</t>
  </si>
  <si>
    <t>Breed Code</t>
  </si>
  <si>
    <t>Breed Name</t>
  </si>
  <si>
    <t>STAGES</t>
  </si>
  <si>
    <t>Gestation Days</t>
  </si>
  <si>
    <t>Lactation Days</t>
  </si>
  <si>
    <t>Productive Life Months</t>
  </si>
  <si>
    <t>Residual Value Amount</t>
  </si>
  <si>
    <t>Productive Life Cycles</t>
  </si>
  <si>
    <t>Avg Litter Size Born</t>
  </si>
  <si>
    <t>Avg Litter Size Weaned</t>
  </si>
  <si>
    <t>Avg Weaning Weight KG</t>
  </si>
  <si>
    <t>Farrowing Rate %</t>
  </si>
  <si>
    <t>Boar Doses Per Week</t>
  </si>
  <si>
    <t>Boar Productive Life Months</t>
  </si>
  <si>
    <t>Vaccination Schedule</t>
  </si>
  <si>
    <t>Blocked</t>
  </si>
  <si>
    <t>Description</t>
  </si>
  <si>
    <t>Short unique code per tenant.</t>
  </si>
  <si>
    <t>Full breed name.</t>
  </si>
  <si>
    <t>NEW: Species within the LOB. SOW / BOAR / GILT / PIGLET / COMMERCIAL_PIG for piggery.</t>
  </si>
  <si>
    <t>Standard gestation period in days. 114 days for pigs = 3 months 3 weeks 3 days.</t>
  </si>
  <si>
    <t>Standard nursing or lactation duration in days.</t>
  </si>
  <si>
    <t>Productive life in months. Amortisation denominator.</t>
  </si>
  <si>
    <t>Salvage value as percent of total opening asset value.</t>
  </si>
  <si>
    <t>Expected number of parities in productive life.</t>
  </si>
  <si>
    <t>Average piglets born live per farrowing. KPI target.</t>
  </si>
  <si>
    <t>Average piglets weaned per litter. Used in output forecast.</t>
  </si>
  <si>
    <t>Standard piglet weight at weaning. KPI target.</t>
  </si>
  <si>
    <t>Percent of AI or matings resulting in successful farrowing.</t>
  </si>
  <si>
    <t>For BOAR species - expected semen doses collected per week. KPI target.</t>
  </si>
  <si>
    <t>Boar productive life in months for amortisation.</t>
  </si>
  <si>
    <t>Standard lifetime vaccination schedule. Auto-populates scheduler params on batch create.</t>
  </si>
  <si>
    <t>From File 2.</t>
  </si>
  <si>
    <t>Example Value</t>
  </si>
  <si>
    <t>LARGE_WHITE / LANDRACE / DUROC</t>
  </si>
  <si>
    <t>Large White</t>
  </si>
  <si>
    <t>SOW</t>
  </si>
  <si>
    <t>114</t>
  </si>
  <si>
    <t>28</t>
  </si>
  <si>
    <t>36</t>
  </si>
  <si>
    <t>10.00</t>
  </si>
  <si>
    <t>7</t>
  </si>
  <si>
    <t>11.50</t>
  </si>
  <si>
    <t>7.000</t>
  </si>
  <si>
    <t>85.00</t>
  </si>
  <si>
    <t>4.00</t>
  </si>
  <si>
    <t>[{"age_days":21,"vaccine_item_id":"...","dose_ml":2,"route":"IM"}]</t>
  </si>
  <si>
    <t>Mandatory</t>
  </si>
  <si>
    <t>YES</t>
  </si>
  <si>
    <t>NO</t>
  </si>
  <si>
    <t>COND</t>
  </si>
  <si>
    <t>Lifecycle ID</t>
  </si>
  <si>
    <t>Breed</t>
  </si>
  <si>
    <t>CATEGORY</t>
  </si>
  <si>
    <t>Stage Name</t>
  </si>
  <si>
    <t>Calculation Unit</t>
  </si>
  <si>
    <t>Period From</t>
  </si>
  <si>
    <t>Period To</t>
  </si>
  <si>
    <t>Teats</t>
  </si>
  <si>
    <t>Season Type</t>
  </si>
  <si>
    <t>Feed Item</t>
  </si>
  <si>
    <t>Feed Qty Per Head Per Day KG</t>
  </si>
  <si>
    <t>Std Body Weight KG</t>
  </si>
  <si>
    <t>Std ADG grams per day</t>
  </si>
  <si>
    <t>Std FCR</t>
  </si>
  <si>
    <t>Std Mortality Rate Pct</t>
  </si>
  <si>
    <t>Output Item</t>
  </si>
  <si>
    <t>Output UOM</t>
  </si>
  <si>
    <t>Std Output Qty</t>
  </si>
  <si>
    <t>Medication Protocol</t>
  </si>
  <si>
    <t>Vaccination Protocol</t>
  </si>
  <si>
    <t>Resource Requirements</t>
  </si>
  <si>
    <t>KPI Lower Limit</t>
  </si>
  <si>
    <t>KPI Upper Limit</t>
  </si>
  <si>
    <t>Alert Severity</t>
  </si>
  <si>
    <t>Stage Notes</t>
  </si>
  <si>
    <t>Created At</t>
  </si>
  <si>
    <t>Primary key.</t>
  </si>
  <si>
    <t>Which breed this standard is for.</t>
  </si>
  <si>
    <t>Which batch stage. Must match production_batches.stage values.</t>
  </si>
  <si>
    <t>Unit for from/to range. Determines how scheduler parameters are generated.</t>
  </si>
  <si>
    <t>Start of this standard range in calc_unit.</t>
  </si>
  <si>
    <t>End of this standard range.</t>
  </si>
  <si>
    <t>Std teats count</t>
  </si>
  <si>
    <t>Winter/ Summer</t>
  </si>
  <si>
    <t>Standard feed item for this stage and week range. Lookup from item_master category = FEED.</t>
  </si>
  <si>
    <t>Standard feed quantity per animal per day. Scheduler CONSUMPTION parameter standard_qty = this times batch.current_count.</t>
  </si>
  <si>
    <t>Expected average body weight at end of this week range. KPI target.</t>
  </si>
  <si>
    <t>Standard Average Daily Gain. Alert if actual ADG falls below this.</t>
  </si>
  <si>
    <t>Standard Feed Conversion Ratio. Alert if actual FCR exceeds this.</t>
  </si>
  <si>
    <t>Acceptable mortality percentage for this stage per week.</t>
  </si>
  <si>
    <t>Expected output item at this stage. Used in output forecast.</t>
  </si>
  <si>
    <t>UOM for output quantity.</t>
  </si>
  <si>
    <t>Expected output per animal or sow at end of stage.</t>
  </si>
  <si>
    <t>Standard medication schedule for this stage. Auto-populates CONSUMPTION params on batch create.</t>
  </si>
  <si>
    <t>Standard vaccination schedule for this stage.</t>
  </si>
  <si>
    <t>Labour standard for this stage. Used in resource planning.</t>
  </si>
  <si>
    <t>Alert if actual KPI falls below this.</t>
  </si>
  <si>
    <t>Alert if actual KPI exceeds this.</t>
  </si>
  <si>
    <t>INFO / WARNING / CRITICAL</t>
  </si>
  <si>
    <t>Instructions for farm staff. Shown as tooltip on data entry screen.</t>
  </si>
  <si>
    <t>uuid-lc-001</t>
  </si>
  <si>
    <t>uuid-breed-01</t>
  </si>
  <si>
    <t>QUARANTINE / GILT_GROWER / FLUSH / GESTATION / FARROWING / WEANING / BOAR_AI / CB_GROWER / SLAUGHTER</t>
  </si>
  <si>
    <t>DAY / WEEK / MONTH</t>
  </si>
  <si>
    <t>1</t>
  </si>
  <si>
    <t>11</t>
  </si>
  <si>
    <t>Winter</t>
  </si>
  <si>
    <t>uuid-item-gest-feed</t>
  </si>
  <si>
    <t>2.5000</t>
  </si>
  <si>
    <t>45.000</t>
  </si>
  <si>
    <t>800.00</t>
  </si>
  <si>
    <t>2.400</t>
  </si>
  <si>
    <t>0.500</t>
  </si>
  <si>
    <t>uuid-item-piglet / uuid-item-semen-dose</t>
  </si>
  <si>
    <t>HEAD / DOSE / KG</t>
  </si>
  <si>
    <t>11.500 piglets per litter / 4.000 doses per week</t>
  </si>
  <si>
    <t>[{"item_id":"...","dose_ml":5,"freq":"ONCE","age_day":7,"route":"IM"}]</t>
  </si>
  <si>
    <t>[{"item_id":"...","dose_ml":2,"freq":"ONCE","age_day":21,"route":"IM"}]</t>
  </si>
  <si>
    <t>[{"resource_type":"FARM_HAND","hrs_per_100_animals":8}]</t>
  </si>
  <si>
    <t>NULL</t>
  </si>
  <si>
    <t>2.800 for FCR</t>
  </si>
  <si>
    <t>CRITICAL</t>
  </si>
  <si>
    <t>Ensure BCS 3.0-3.5 throughout gestation.</t>
  </si>
  <si>
    <t>2025-01-15</t>
  </si>
  <si>
    <t>TN-70-Sow</t>
  </si>
  <si>
    <t>42 months</t>
  </si>
  <si>
    <t>Farm / location</t>
  </si>
  <si>
    <t>3rd vaccination (Every pregnancy cycle) 14 weeks preg farrowsure</t>
  </si>
  <si>
    <t>gilt rearing 4 - 10 weeks</t>
  </si>
  <si>
    <t>Gilt service line</t>
  </si>
  <si>
    <t>Gilt in gestation</t>
  </si>
  <si>
    <t>Gilts farrowing</t>
  </si>
  <si>
    <t>gilt weaning</t>
  </si>
  <si>
    <t>2nd parity service line</t>
  </si>
  <si>
    <t xml:space="preserve">2nd parity gestation </t>
  </si>
  <si>
    <t>2nd parity farrowing</t>
  </si>
  <si>
    <t>3rd parity plus service line</t>
  </si>
  <si>
    <t>3rd parity plus gestation</t>
  </si>
  <si>
    <t>weeks</t>
  </si>
  <si>
    <t>4 weeks</t>
  </si>
  <si>
    <t>10 weeks</t>
  </si>
  <si>
    <t>10 week old gilts</t>
  </si>
  <si>
    <t>N/A</t>
  </si>
  <si>
    <t>Expected average body weight at start of this week range. KPI target.</t>
  </si>
  <si>
    <t>4wks(8 days) - Creep2, 6wks (14 days) - creep 3, 8 to 10wks (17 days) - Wean 1</t>
  </si>
  <si>
    <t>28 (range 27 to 29)</t>
  </si>
  <si>
    <t>NOP within weight range @ 10 weeks</t>
  </si>
  <si>
    <t>16 weeks</t>
  </si>
  <si>
    <t>25 weeks</t>
  </si>
  <si>
    <t>28 weeks</t>
  </si>
  <si>
    <t>As above</t>
  </si>
  <si>
    <t>from service week</t>
  </si>
  <si>
    <t>15 weeks pregnant</t>
  </si>
  <si>
    <t>gain for period not daily - 74 to 81</t>
  </si>
  <si>
    <t>NOP inside target weight box and variation</t>
  </si>
  <si>
    <t>farrowing batch recorded weekly</t>
  </si>
  <si>
    <t>location</t>
  </si>
  <si>
    <t>sub sub location</t>
  </si>
  <si>
    <t>feed bulk /bagged</t>
  </si>
  <si>
    <t>feed silo to draw from</t>
  </si>
  <si>
    <t>Sub location</t>
  </si>
  <si>
    <t>bagged</t>
  </si>
  <si>
    <t>Drop down with available drugs and dosage against weight</t>
  </si>
  <si>
    <t>NOP below target weight</t>
  </si>
  <si>
    <t>ADG of pigs below target weight between 4 - 10 weeks</t>
  </si>
  <si>
    <t>ADG of slow growers</t>
  </si>
  <si>
    <t>ADG per day</t>
  </si>
  <si>
    <t>1.8kgs of feed per day for the period</t>
  </si>
  <si>
    <t>Avg litter total born</t>
  </si>
  <si>
    <t># Born dead</t>
  </si>
  <si>
    <t># mummified piglets</t>
  </si>
  <si>
    <t xml:space="preserve"># of piglets born dead </t>
  </si>
  <si>
    <t xml:space="preserve">total born is the figure that includes Born live, born dead and mummified </t>
  </si>
  <si>
    <t>mortaltiy %</t>
  </si>
  <si>
    <t>Mortaltiy % between date of farrow and weaning</t>
  </si>
  <si>
    <t>total litter mass of the piglets weaned per sow</t>
  </si>
  <si>
    <t>SO's for the week</t>
  </si>
  <si>
    <t>w/s/y</t>
  </si>
  <si>
    <t>taken from pig expert</t>
  </si>
  <si>
    <t>litter index</t>
  </si>
  <si>
    <t>empty days</t>
  </si>
  <si>
    <t>70 day weight</t>
  </si>
  <si>
    <t>70 day gain</t>
  </si>
  <si>
    <t>weaner FCE</t>
  </si>
  <si>
    <t>weaner mortaltiy</t>
  </si>
  <si>
    <t>Grower FCE</t>
  </si>
  <si>
    <t>Grower mortality</t>
  </si>
  <si>
    <t>AVG CDM to colcom</t>
  </si>
  <si>
    <t>Grower ADG</t>
  </si>
  <si>
    <t>Heat recordings</t>
  </si>
  <si>
    <t>Date of heat recorded used for service line calculations</t>
  </si>
  <si>
    <t>24 weeks</t>
  </si>
  <si>
    <t>27 weeks</t>
  </si>
  <si>
    <t>move to service line instruction if correct age and weight based on previous cells</t>
  </si>
  <si>
    <t>alert for 4 week PD</t>
  </si>
  <si>
    <t>Total born</t>
  </si>
  <si>
    <t>weaning batch recorded weekly</t>
  </si>
  <si>
    <t>% maternal weight loss</t>
  </si>
  <si>
    <t>Maternal weight loss variation</t>
  </si>
  <si>
    <t>% animals lost more than 12%</t>
  </si>
  <si>
    <t>service week</t>
  </si>
  <si>
    <t>Number of 2nds returned to farrowing house against target</t>
  </si>
  <si>
    <t>4 weeks of age</t>
  </si>
  <si>
    <t>10 weeks of age</t>
  </si>
  <si>
    <t>10 week old pigs</t>
  </si>
  <si>
    <t>14 weeks</t>
  </si>
  <si>
    <t>slaughter batch</t>
  </si>
  <si>
    <t>Growers to colcom against budget</t>
  </si>
  <si>
    <t>Avg CDM against budget</t>
  </si>
  <si>
    <t>kgs against budget</t>
  </si>
  <si>
    <t>sows not come on heat by the following Thursday of what was weaned</t>
  </si>
  <si>
    <t>Weaner</t>
  </si>
  <si>
    <t>Grower</t>
  </si>
  <si>
    <t>Colcom</t>
  </si>
  <si>
    <t># of mummies</t>
  </si>
  <si>
    <t>Creep 2 - 0.48, Creep 3 - 0.94, Wean 1 - 1.1</t>
  </si>
  <si>
    <t>Problem</t>
  </si>
  <si>
    <t>Drug</t>
  </si>
  <si>
    <t>Dose-small</t>
  </si>
  <si>
    <t>Dose-med</t>
  </si>
  <si>
    <t>Dose large</t>
  </si>
  <si>
    <t>Repeat</t>
  </si>
  <si>
    <t>Scour</t>
  </si>
  <si>
    <t>Advocin</t>
  </si>
  <si>
    <t>0.5ml</t>
  </si>
  <si>
    <t>0.75ml</t>
  </si>
  <si>
    <t>1ml</t>
  </si>
  <si>
    <t>every day for 3 days, if needed</t>
  </si>
  <si>
    <t>Swollen joint</t>
  </si>
  <si>
    <t>Lincomycin</t>
  </si>
  <si>
    <t>1.5ml</t>
  </si>
  <si>
    <t>2ml</t>
  </si>
  <si>
    <t xml:space="preserve">                   - alternative</t>
  </si>
  <si>
    <t>Penstrep</t>
  </si>
  <si>
    <t>after 3 days, if needed</t>
  </si>
  <si>
    <t>Ketoprofen</t>
  </si>
  <si>
    <t>0.2ml</t>
  </si>
  <si>
    <t>0.4ml</t>
  </si>
  <si>
    <t>after 24hrs, if needed</t>
  </si>
  <si>
    <t>Cough</t>
  </si>
  <si>
    <t>Amoxy</t>
  </si>
  <si>
    <t>after 2 days, if needed</t>
  </si>
  <si>
    <t>Injury/skin lesion</t>
  </si>
  <si>
    <t xml:space="preserve">                       -if bad</t>
  </si>
  <si>
    <t>Tail Bite</t>
  </si>
  <si>
    <t>Stokholm Tar</t>
  </si>
  <si>
    <t>Paint on to tail every day</t>
  </si>
  <si>
    <t>Meningitis</t>
  </si>
  <si>
    <t>16 week old gilts</t>
  </si>
  <si>
    <t>24 week old gilts</t>
  </si>
  <si>
    <t>27 week old gilts</t>
  </si>
  <si>
    <t>33 weeks</t>
  </si>
  <si>
    <t>Bulk</t>
  </si>
  <si>
    <t>22 weeks</t>
  </si>
  <si>
    <t xml:space="preserve">FARROWING HOUSE FEEDING SCHEDULE </t>
  </si>
  <si>
    <t>2 times per day feeding</t>
  </si>
  <si>
    <t>3 times per day feeding</t>
  </si>
  <si>
    <t>4 times per day feeding</t>
  </si>
  <si>
    <t>5 times per day feeding</t>
  </si>
  <si>
    <t>Days after</t>
  </si>
  <si>
    <t>Trans</t>
  </si>
  <si>
    <t>Lactate Gilt</t>
  </si>
  <si>
    <t>Setting</t>
  </si>
  <si>
    <t>AM</t>
  </si>
  <si>
    <t>tick actual</t>
  </si>
  <si>
    <t>PM</t>
  </si>
  <si>
    <t>Total</t>
  </si>
  <si>
    <t xml:space="preserve">1st 5 days stick to this schedule </t>
  </si>
  <si>
    <t>From day 6 can increase as much as 2kgs per day if she is willing to eat</t>
  </si>
  <si>
    <t>In the last week - sow with 12 or less piglets or fat - don’t increase in the last week</t>
  </si>
  <si>
    <t>If she has more than 12 piglets and medium or thin keep increasing to day of weaning</t>
  </si>
  <si>
    <t>If scours in piglets are noted keep her on the same feed level and if not moved to lactate yet, keep her on trans</t>
  </si>
  <si>
    <t>Super Flush</t>
  </si>
  <si>
    <t>4.5kgs of feed per day up to service</t>
  </si>
  <si>
    <t>2.5kgs of feed per day for the period (Ad lib)</t>
  </si>
  <si>
    <t>Trans feed and Lactate Gilt</t>
  </si>
  <si>
    <t>236 to 246kgs</t>
  </si>
  <si>
    <t>1 Week</t>
  </si>
  <si>
    <t>4 Weeks</t>
  </si>
  <si>
    <t>Lactate Sow</t>
  </si>
  <si>
    <t>Settings</t>
  </si>
  <si>
    <t xml:space="preserve">1st 3 days stick to this schedule </t>
  </si>
  <si>
    <t>From day 4 can increase as much as 2kgs per day if she is willing to eat</t>
  </si>
  <si>
    <t>If not finished, keep on the same level as previous day</t>
  </si>
  <si>
    <t>If she has more than 12 piglets and medium or thin keep pushing to day of weaning</t>
  </si>
  <si>
    <t>3rd parity farrowing</t>
  </si>
  <si>
    <t xml:space="preserve">3rd parity weaning </t>
  </si>
  <si>
    <t>Gilts in Dry Feed Schedule</t>
  </si>
  <si>
    <t>2.6kgs</t>
  </si>
  <si>
    <t>2.3kgs</t>
  </si>
  <si>
    <t>2.8kgs</t>
  </si>
  <si>
    <t>Day #</t>
  </si>
  <si>
    <t>Day</t>
  </si>
  <si>
    <t>1000hrs</t>
  </si>
  <si>
    <t>1630hrs</t>
  </si>
  <si>
    <t>Feed drop Times &amp; Qty</t>
  </si>
  <si>
    <t>Thursday</t>
  </si>
  <si>
    <t>Friday</t>
  </si>
  <si>
    <t>Saturday</t>
  </si>
  <si>
    <t>Sunday</t>
  </si>
  <si>
    <t>Monday</t>
  </si>
  <si>
    <t>Tuesday</t>
  </si>
  <si>
    <t>Wednesday</t>
  </si>
  <si>
    <t>0530hrs</t>
  </si>
  <si>
    <t>Flush Feeding for Sow in the Service Line</t>
  </si>
  <si>
    <t>Gilts</t>
  </si>
  <si>
    <t>Crate Breaking</t>
  </si>
  <si>
    <t>1400hrs</t>
  </si>
  <si>
    <t>Totals</t>
  </si>
  <si>
    <t>From Day into SL to 14 days before service</t>
  </si>
  <si>
    <t>14 days before Service</t>
  </si>
  <si>
    <t>3.1kgs</t>
  </si>
  <si>
    <t>GILTS</t>
  </si>
  <si>
    <t>P2</t>
  </si>
  <si>
    <t>FEED</t>
  </si>
  <si>
    <t>SOWS</t>
  </si>
  <si>
    <t>5 WEEKS</t>
  </si>
  <si>
    <t>8 WEEKS</t>
  </si>
  <si>
    <t>12 WEEKS</t>
  </si>
  <si>
    <t>All gilts</t>
  </si>
  <si>
    <t>All sows</t>
  </si>
  <si>
    <t>15 WEEKS</t>
  </si>
  <si>
    <t>11 to 13</t>
  </si>
  <si>
    <t>14 to 15</t>
  </si>
  <si>
    <t>16 +</t>
  </si>
  <si>
    <t>2.1kgs</t>
  </si>
  <si>
    <t>Total Feed</t>
  </si>
  <si>
    <t>9 to 12</t>
  </si>
  <si>
    <t>13 to 14</t>
  </si>
  <si>
    <t>10 &amp; below</t>
  </si>
  <si>
    <t>11 to 12</t>
  </si>
  <si>
    <t>INTO DRY SOW          (0 to 5 Weeks)</t>
  </si>
  <si>
    <t>INTO DRY SOW         (0 to 5 Weeks)</t>
  </si>
  <si>
    <t>As per Feed schedule - In Dry Sow page</t>
  </si>
  <si>
    <t>As per Service Line Feed Schedule page</t>
  </si>
  <si>
    <t>accounts</t>
  </si>
  <si>
    <t>2nd vaccine - Farrowsure (gilt) 27 weeks</t>
  </si>
  <si>
    <t>30 weeks</t>
  </si>
  <si>
    <t>SUPER FLUSH</t>
  </si>
  <si>
    <t>175 (range 157 to 187)</t>
  </si>
  <si>
    <t>157-187kg served gilts</t>
  </si>
  <si>
    <t>% animals served under this range</t>
  </si>
  <si>
    <t>Drop down with feed levels and P2 option</t>
  </si>
  <si>
    <t>236-246</t>
  </si>
  <si>
    <t>Mortaltiy reasons</t>
  </si>
  <si>
    <t>gilts to farrow range 236-246kgs</t>
  </si>
  <si>
    <t>weekly farrow batch</t>
  </si>
  <si>
    <t>weekly weaned batch</t>
  </si>
  <si>
    <t>Mortality reasons</t>
  </si>
  <si>
    <t>Maternal body weight</t>
  </si>
  <si>
    <t>SOW AND PIGLET TREATMENT CARD</t>
  </si>
  <si>
    <t>DATE</t>
  </si>
  <si>
    <t>PIGLET TREATMENT</t>
  </si>
  <si>
    <t>SOW TREATMENT</t>
  </si>
  <si>
    <t>Suckling Piglets</t>
  </si>
  <si>
    <t>Lactating Sows</t>
  </si>
  <si>
    <t>Symptom</t>
  </si>
  <si>
    <t>Dose</t>
  </si>
  <si>
    <t>E.coli</t>
  </si>
  <si>
    <t>Scour -1st Line</t>
  </si>
  <si>
    <t>Kyrotrim</t>
  </si>
  <si>
    <t>0.3ml</t>
  </si>
  <si>
    <t>every day for 3 days</t>
  </si>
  <si>
    <t>Fever</t>
  </si>
  <si>
    <t>Sow not eating</t>
  </si>
  <si>
    <t>Limoxin 200 LA</t>
  </si>
  <si>
    <t>24ml</t>
  </si>
  <si>
    <t xml:space="preserve">            - 2nd Line</t>
  </si>
  <si>
    <t>0.25ml</t>
  </si>
  <si>
    <t>5ml</t>
  </si>
  <si>
    <t>After 24 hrs, if needed</t>
  </si>
  <si>
    <t>Joint Ill</t>
  </si>
  <si>
    <t>Aided Farrowing</t>
  </si>
  <si>
    <t>Hand used</t>
  </si>
  <si>
    <t>No</t>
  </si>
  <si>
    <t xml:space="preserve">  - alternative</t>
  </si>
  <si>
    <t>Penstrep LA</t>
  </si>
  <si>
    <t xml:space="preserve">  -if severe add</t>
  </si>
  <si>
    <t>0.1ml</t>
  </si>
  <si>
    <t>Intertocin</t>
  </si>
  <si>
    <t>Injury (facial lesions)</t>
  </si>
  <si>
    <t>Intramox 150 LA</t>
  </si>
  <si>
    <t>Discharge</t>
  </si>
  <si>
    <t>Milky vaginal secretion</t>
  </si>
  <si>
    <t xml:space="preserve"> -if severe add</t>
  </si>
  <si>
    <t>Sore Foot/Injury</t>
  </si>
  <si>
    <t>Injury or open wound on foot</t>
  </si>
  <si>
    <t>Greasy Pig</t>
  </si>
  <si>
    <t xml:space="preserve">Typical skin lesions    </t>
  </si>
  <si>
    <t xml:space="preserve">         - if bad add</t>
  </si>
  <si>
    <t>Lawsonia</t>
  </si>
  <si>
    <t>Scours</t>
  </si>
  <si>
    <t>Alamycin LA</t>
  </si>
  <si>
    <t>Pig cant stand, tremors, paddling</t>
  </si>
  <si>
    <t>Pre-Farrowing Oedema</t>
  </si>
  <si>
    <t>Hard/Swollen udder</t>
  </si>
  <si>
    <t>Swollen Joint</t>
  </si>
  <si>
    <t>Daily for 3 days</t>
  </si>
  <si>
    <t>Thursday day of weaning</t>
  </si>
  <si>
    <t>16 - piglets weaned per gilt</t>
  </si>
  <si>
    <t>Wednesday the following week</t>
  </si>
  <si>
    <t>BULK</t>
  </si>
  <si>
    <t>weekly farrowing batch</t>
  </si>
  <si>
    <t>service target</t>
  </si>
  <si>
    <t>stand over</t>
  </si>
  <si>
    <t>alert if more than 3 - 3rd parity plus S/O</t>
  </si>
  <si>
    <t>4wks(8 days) - Creep2, 5 to 6wks (14 days) - creep 3, 7 to 10wks (17 days) - Wean 1</t>
  </si>
  <si>
    <t>Creep 2-0.48, Creep 3- 0.94, wean 1- 1.1</t>
  </si>
  <si>
    <t>SEE WEANER TREATMENT SHEET</t>
  </si>
  <si>
    <t>DRY SOWS</t>
  </si>
  <si>
    <t>Alamycin</t>
  </si>
  <si>
    <t>after 24 hrs, if needed</t>
  </si>
  <si>
    <t>Injury</t>
  </si>
  <si>
    <t>Cuts on skin</t>
  </si>
  <si>
    <t xml:space="preserve">            - if bad</t>
  </si>
  <si>
    <t>Sore Foot</t>
  </si>
  <si>
    <t>Painfull or swollen foot</t>
  </si>
  <si>
    <t>Abscess</t>
  </si>
  <si>
    <t>soft lump</t>
  </si>
  <si>
    <t>Farrowing House</t>
  </si>
  <si>
    <t>Intertrim LA</t>
  </si>
  <si>
    <t xml:space="preserve">                                    -if severe</t>
  </si>
  <si>
    <t xml:space="preserve">                                    - alternative</t>
  </si>
  <si>
    <t xml:space="preserve">                                    -if severe add</t>
  </si>
  <si>
    <t xml:space="preserve"> </t>
  </si>
  <si>
    <t>Weaners</t>
  </si>
  <si>
    <t>Growers</t>
  </si>
  <si>
    <t>Before 17 weeks</t>
  </si>
  <si>
    <t>Dose -small</t>
  </si>
  <si>
    <t>Dose - med</t>
  </si>
  <si>
    <t>Scour - Lawsonia</t>
  </si>
  <si>
    <t>3ml</t>
  </si>
  <si>
    <t>7ml</t>
  </si>
  <si>
    <t>if more then 2 in pen</t>
  </si>
  <si>
    <t>OTC in feed</t>
  </si>
  <si>
    <t>4g/pig/day</t>
  </si>
  <si>
    <t>minimum 3 days</t>
  </si>
  <si>
    <t xml:space="preserve">                      - alternative</t>
  </si>
  <si>
    <t>0.7ml</t>
  </si>
  <si>
    <t>1.3ml</t>
  </si>
  <si>
    <t>Injury/skin lesions</t>
  </si>
  <si>
    <t>Paint onto tail every day</t>
  </si>
  <si>
    <t>After 17 weeks</t>
  </si>
  <si>
    <t>Dose x large</t>
  </si>
  <si>
    <t>Withdrawal</t>
  </si>
  <si>
    <t>Option 1</t>
  </si>
  <si>
    <t>Depocillin</t>
  </si>
  <si>
    <t>4ml</t>
  </si>
  <si>
    <t>5 Days</t>
  </si>
  <si>
    <t>Option 2 (severe case)</t>
  </si>
  <si>
    <t>Cobactan</t>
  </si>
  <si>
    <t>10weeks (14days) - Wean 1 (OTC), 12weeks (14days) - Grower 1, 14weeks (14 days) - Grower 2, 16weeks (10days) - Grower 3, 17weeks (28days) - Finisher</t>
  </si>
  <si>
    <t>wean 1 otc (10weeks)-1.6, wean 1 otc(11weeks)-1.7, grower 1(12weeks)-2.2, grower 1(13weeks)-2.5, grower 2 (14weeks)-2.6, grower 2(15weeks)-2.7, grower 3(16weeks)-2.9, grower 3(17-18weeks)-3.1, finisher(19-22)-3.1</t>
  </si>
  <si>
    <t>1.100 (alert - below 1.0)</t>
  </si>
  <si>
    <t>2.4 (alert above 2.45)</t>
  </si>
  <si>
    <t>22-23 weeks</t>
  </si>
  <si>
    <t>SEE GROWER TREATMENT SHEET</t>
  </si>
  <si>
    <t>118 (range 112 to 128)</t>
  </si>
  <si>
    <t>gilt rearing 10 weeks</t>
  </si>
  <si>
    <t>gilt rearing 11 weeks</t>
  </si>
  <si>
    <t>gilt rearing 12 weeks</t>
  </si>
  <si>
    <t>gilt rearing 13 weeks</t>
  </si>
  <si>
    <t>gilt rearing 14 weeks</t>
  </si>
  <si>
    <t>gilt rearing 15 weeks</t>
  </si>
  <si>
    <t>gilt rearing 16 weeks</t>
  </si>
  <si>
    <t>11 weeks</t>
  </si>
  <si>
    <t xml:space="preserve"> 10 weeks</t>
  </si>
  <si>
    <t xml:space="preserve"> 11 weeks</t>
  </si>
  <si>
    <t xml:space="preserve"> 12 weeks</t>
  </si>
  <si>
    <t xml:space="preserve"> 13 weeks</t>
  </si>
  <si>
    <t xml:space="preserve"> 14 weeks</t>
  </si>
  <si>
    <t xml:space="preserve"> 15 weeks</t>
  </si>
  <si>
    <t xml:space="preserve"> 16 weeks</t>
  </si>
  <si>
    <t>12 weeks</t>
  </si>
  <si>
    <t>13 weeks</t>
  </si>
  <si>
    <t>15 weeks</t>
  </si>
  <si>
    <t>17 weeks</t>
  </si>
  <si>
    <t xml:space="preserve">W1 </t>
  </si>
  <si>
    <t>W1 - Gilt rear 1</t>
  </si>
  <si>
    <t xml:space="preserve">W1 - Gilt rear 1 </t>
  </si>
  <si>
    <t xml:space="preserve">W1 - Gilt rear 1 - Gilt rear 2 </t>
  </si>
  <si>
    <t>W1 - Gilt rear 1 - Gilt rear 2</t>
  </si>
  <si>
    <t>Gilt rear 1 - Gilt rear 2 - Gilt rear 3</t>
  </si>
  <si>
    <t>1.4kgs of feed per day for the period</t>
  </si>
  <si>
    <t>1.5kgs of feed per day for the period</t>
  </si>
  <si>
    <t>1.6kgs of feed per day for the period</t>
  </si>
  <si>
    <t>1.7kgs of feed per day for the period</t>
  </si>
  <si>
    <t>1.9kgs of feed per day for the period</t>
  </si>
  <si>
    <t>2.0kgs of feed per day for the period</t>
  </si>
  <si>
    <t>11 week old gilts</t>
  </si>
  <si>
    <t>12 week old gilts</t>
  </si>
  <si>
    <t>13 week old gilts</t>
  </si>
  <si>
    <t>14 week old gilts</t>
  </si>
  <si>
    <t>15 week old gilts</t>
  </si>
  <si>
    <t>17 week old gilts</t>
  </si>
  <si>
    <t>ADG of pigs below target weight between 11 weeks</t>
  </si>
  <si>
    <t>ADG of pigs below target weight between 12 weeks</t>
  </si>
  <si>
    <t>ADG of pigs below target weight between 13 weeks</t>
  </si>
  <si>
    <t>ADG of pigs below target weight between 14 weeks</t>
  </si>
  <si>
    <t>ADG of pigs below target weight between 15 weeks</t>
  </si>
  <si>
    <t>ADG of pigs below target weight between 16 weeks</t>
  </si>
  <si>
    <t>ADG of pigs below target weight between 17 weeks</t>
  </si>
  <si>
    <t>gilt rearing 17 weeks</t>
  </si>
  <si>
    <t>gilt rearing 18 weeks</t>
  </si>
  <si>
    <t>gilt rearing 19 weeks</t>
  </si>
  <si>
    <t>gilt rearing 20 weeks</t>
  </si>
  <si>
    <t>gilt rearing 21 weeks</t>
  </si>
  <si>
    <t>gilt rearing 22 weeks</t>
  </si>
  <si>
    <t>gilt rearing 23 weeks</t>
  </si>
  <si>
    <t>gilt rearing 24 weeks</t>
  </si>
  <si>
    <t>18 weeks</t>
  </si>
  <si>
    <t>19 weeks</t>
  </si>
  <si>
    <t>20 weeks</t>
  </si>
  <si>
    <t>21 weeks</t>
  </si>
  <si>
    <t>23 weeks</t>
  </si>
  <si>
    <t>Gilt rear 1 - Gilt rear 2</t>
  </si>
  <si>
    <t xml:space="preserve">Gilt rear 2 - Gilt rear 3 </t>
  </si>
  <si>
    <t>2.2kgs of feed per day for the period (Ad lib)</t>
  </si>
  <si>
    <t>2.3kgs of feed per day for the period (Ad lib)</t>
  </si>
  <si>
    <t>2.4kgs of feed per day for the period (Ad lib)</t>
  </si>
  <si>
    <t>2.6kgs of feed per day for the period (Ad lib)</t>
  </si>
  <si>
    <t>2.7kgs of feed per day for the period (Ad lib)</t>
  </si>
  <si>
    <t>2.8kgs of feed per day for the period (Ad lib)</t>
  </si>
  <si>
    <t>2.9kgs of feed per day for the period (Ad lib)</t>
  </si>
  <si>
    <t>18 week old gilts</t>
  </si>
  <si>
    <t>19 week old gilts</t>
  </si>
  <si>
    <t>20 week old gilts</t>
  </si>
  <si>
    <t>21 week old gilts</t>
  </si>
  <si>
    <t>22 week old gilts</t>
  </si>
  <si>
    <t>23 week old gilts</t>
  </si>
  <si>
    <t>25 week old gilts</t>
  </si>
  <si>
    <t>gilt rearing 25 weeks</t>
  </si>
  <si>
    <t>gilt rearing 26 weeks</t>
  </si>
  <si>
    <t>gilt rearing 27 weeks</t>
  </si>
  <si>
    <t>26 weeks</t>
  </si>
  <si>
    <t>3.0kgs of feed per day for the period (Ad lib)</t>
  </si>
  <si>
    <t>3.3kgs of feed per day for the period (Ad lib)</t>
  </si>
  <si>
    <t>3.5kgs of feed per day for the period (Ad lib)</t>
  </si>
  <si>
    <t>26 week old gilts</t>
  </si>
  <si>
    <t>28 week old gilts</t>
  </si>
  <si>
    <t>NOP within weight range @ 28 weeks</t>
  </si>
  <si>
    <t>NOP within weight range @ 25 weeks</t>
  </si>
  <si>
    <t>ADG of pigs below target weight between 18 weeks</t>
  </si>
  <si>
    <t>ADG of pigs below target weight between 19 weeks</t>
  </si>
  <si>
    <t>ADG of pigs below target weight between 20 weeks</t>
  </si>
  <si>
    <t>ADG of pigs below target weight between 21 weeks</t>
  </si>
  <si>
    <t>ADG of pigs below target weight between 22 weeks</t>
  </si>
  <si>
    <t>ADG of pigs below target weight between 23 weeks</t>
  </si>
  <si>
    <t>ADG of pigs below target weight between 24 weeks</t>
  </si>
  <si>
    <t>ADG of pigs below target weight between 25 weeks</t>
  </si>
  <si>
    <t>gilt rearing gilt to Service line (28 weeks)</t>
  </si>
  <si>
    <t>gilt rearing gilt to Service line (29 weeks)</t>
  </si>
  <si>
    <t>gilt rearing gilt to Service line (30 weeks)</t>
  </si>
  <si>
    <t>gilt rearing gilt to Service line (31 weeks)</t>
  </si>
  <si>
    <t>gilt rearing gilt to Service line(32 weeks)</t>
  </si>
  <si>
    <t>gilt rearing gilt to Service line (33 weeks)</t>
  </si>
  <si>
    <t>gilt rearing gilt to Service line (34 weeks)</t>
  </si>
  <si>
    <t>29 weeks</t>
  </si>
  <si>
    <t>31 weeks</t>
  </si>
  <si>
    <t>32 weeks</t>
  </si>
  <si>
    <t>34 weeks</t>
  </si>
  <si>
    <t>35 weeks</t>
  </si>
  <si>
    <t>Service week</t>
  </si>
  <si>
    <t>2nd parity weaning</t>
  </si>
  <si>
    <t>Teaser Boar</t>
  </si>
  <si>
    <t>Total weight gain for the period</t>
  </si>
  <si>
    <t>Expected Livestock Output</t>
  </si>
  <si>
    <t>Maternal weight loss between 8 - 12%</t>
  </si>
  <si>
    <t>As per Sow Feed schedule - Farr page</t>
  </si>
  <si>
    <t>Farrowing Rates</t>
  </si>
  <si>
    <t>Total Born</t>
  </si>
  <si>
    <t>Born Alive</t>
  </si>
  <si>
    <t>Birth Weight</t>
  </si>
  <si>
    <t>Gilt Gain in Gestation Variation</t>
  </si>
  <si>
    <t>Gilt gain in gestation variation</t>
  </si>
  <si>
    <t>% loss of animals that lost more than 12%</t>
  </si>
  <si>
    <t>PD Alert</t>
  </si>
  <si>
    <t>Gilts into Farrowing Variation</t>
  </si>
  <si>
    <t>Born Dead</t>
  </si>
  <si>
    <t>Mummies</t>
  </si>
  <si>
    <t>Animal served under age range</t>
  </si>
  <si>
    <t>ADG of pigs below target weight at service(0.786)</t>
  </si>
  <si>
    <t>GILTS SELECTION CRITERIA</t>
  </si>
  <si>
    <t>Wean weight</t>
  </si>
  <si>
    <t>DAM TSI</t>
  </si>
  <si>
    <t>Body Conformation</t>
  </si>
  <si>
    <t>1 = very poor, 5 = Excellent. Target is 5</t>
  </si>
  <si>
    <t>CDM</t>
  </si>
  <si>
    <t>Kgs Sold/Sow/Year</t>
  </si>
  <si>
    <t>recorded gilt heats</t>
  </si>
  <si>
    <t>recorded heats axtual dates</t>
  </si>
  <si>
    <t xml:space="preserve"> Gilt rear 5</t>
  </si>
  <si>
    <t>Grasmere</t>
  </si>
  <si>
    <t>GRF1W</t>
  </si>
  <si>
    <t>GRF1W-P01-P12</t>
  </si>
  <si>
    <t>7.2 (range 7.2 to 7.5)</t>
  </si>
  <si>
    <t>0.547 (alert - below 0.490)</t>
  </si>
  <si>
    <t>GRF1W-P13-P24</t>
  </si>
  <si>
    <t>GRF1G</t>
  </si>
  <si>
    <t>GRF1G-P01-P24</t>
  </si>
  <si>
    <t>gilt rearing 25weeks</t>
  </si>
  <si>
    <t>Gilt rear 3 - Gilt rear 4&amp; Gilt 4.1</t>
  </si>
  <si>
    <t>Gilt rear 2 - Gilt rear 3;Gilt 4;Gilt 4.1</t>
  </si>
  <si>
    <t>NOP within weight range @ 16 weeks</t>
  </si>
  <si>
    <t>gilt rearing 28weeks</t>
  </si>
  <si>
    <t>GRD2</t>
  </si>
  <si>
    <t>GRD2-P01-P10</t>
  </si>
  <si>
    <t>35weeks</t>
  </si>
  <si>
    <t>GRD1</t>
  </si>
  <si>
    <t>GR SF-02</t>
  </si>
  <si>
    <t>gilt rearing gilt to Service line (35weeks)</t>
  </si>
  <si>
    <t>( 30 - 35 weeks)target service age</t>
  </si>
  <si>
    <t>ADG of pigs below target weight between 25- 28weeks</t>
  </si>
  <si>
    <t>Farrowsure vaccine administerd @ 25weeks - 2mls</t>
  </si>
  <si>
    <t>Farrowsure vaccine administerd @ 28 weeks - 2mls</t>
  </si>
  <si>
    <t>36 weeks</t>
  </si>
  <si>
    <t>GRD-DS1</t>
  </si>
  <si>
    <t>GRD1-03</t>
  </si>
  <si>
    <t>GRD1-04</t>
  </si>
  <si>
    <t>GRD1-03-M</t>
  </si>
  <si>
    <t>GRD1-04-M</t>
  </si>
  <si>
    <t>GRD-DS2</t>
  </si>
  <si>
    <t>Drysow</t>
  </si>
  <si>
    <t>GRD3</t>
  </si>
  <si>
    <t>GRD4</t>
  </si>
  <si>
    <t>GRD5</t>
  </si>
  <si>
    <t>GRD2-02</t>
  </si>
  <si>
    <t>GRD2-02-M</t>
  </si>
  <si>
    <t>GRD2-03</t>
  </si>
  <si>
    <t>GRD2-03-M</t>
  </si>
  <si>
    <t>GRD3-01</t>
  </si>
  <si>
    <t>GRD3-02</t>
  </si>
  <si>
    <t>GRD3-01-M</t>
  </si>
  <si>
    <t>GRD3-02-M</t>
  </si>
  <si>
    <t>GRD3-03</t>
  </si>
  <si>
    <t>GRD3-03-M</t>
  </si>
  <si>
    <t>GRD3-04</t>
  </si>
  <si>
    <t>GRD3-04-M</t>
  </si>
  <si>
    <t>GRD90D</t>
  </si>
  <si>
    <t>90DAY PLUS</t>
  </si>
  <si>
    <t>GRD4-02</t>
  </si>
  <si>
    <t>GRD4-02-M</t>
  </si>
  <si>
    <t>GRD4-03</t>
  </si>
  <si>
    <t>GRD4-03-M</t>
  </si>
  <si>
    <t>GRD4-04</t>
  </si>
  <si>
    <t>GRD4-04-M</t>
  </si>
  <si>
    <t>GRD4-01</t>
  </si>
  <si>
    <t>GRD4-01-M</t>
  </si>
  <si>
    <t>GRD-DS4</t>
  </si>
  <si>
    <t>GRD-DS5</t>
  </si>
  <si>
    <t>GRD5-01</t>
  </si>
  <si>
    <t>GRD5-01-M</t>
  </si>
  <si>
    <t>GRD5-02</t>
  </si>
  <si>
    <t>GRD5-02-M</t>
  </si>
  <si>
    <t>GRD5-03</t>
  </si>
  <si>
    <t>GRD5-03-M</t>
  </si>
  <si>
    <t>GRD5-04</t>
  </si>
  <si>
    <t>GRD5-04-M</t>
  </si>
  <si>
    <t xml:space="preserve">Bulk/bagged </t>
  </si>
  <si>
    <t>Drysow;90 day plus</t>
  </si>
  <si>
    <t>GRFH-LG2</t>
  </si>
  <si>
    <t>GRFH1</t>
  </si>
  <si>
    <t>GRFH1-01</t>
  </si>
  <si>
    <t>GRFH1-02</t>
  </si>
  <si>
    <t>GRFH1-03</t>
  </si>
  <si>
    <t>GRFH1-04</t>
  </si>
  <si>
    <t>GRFH2</t>
  </si>
  <si>
    <t>GRFH2-01</t>
  </si>
  <si>
    <t>GRFH2-02</t>
  </si>
  <si>
    <t>GRFH2-03</t>
  </si>
  <si>
    <t>GRFH2-04</t>
  </si>
  <si>
    <t>GRFH3</t>
  </si>
  <si>
    <t>GRFH3-02</t>
  </si>
  <si>
    <t>GRFH4</t>
  </si>
  <si>
    <t>GRFH4-02</t>
  </si>
  <si>
    <t>GRFH5</t>
  </si>
  <si>
    <t>GRFH5-02</t>
  </si>
  <si>
    <t>GRFH-LG1</t>
  </si>
  <si>
    <t>GRFH-LG3</t>
  </si>
  <si>
    <t>GRFH-LG4</t>
  </si>
  <si>
    <t>GRFH-LG5</t>
  </si>
  <si>
    <t>Bagged</t>
  </si>
  <si>
    <t>104kgs - total litter mass</t>
  </si>
  <si>
    <t>GRD1-SL01</t>
  </si>
  <si>
    <t>GRD1-SL02</t>
  </si>
  <si>
    <t>GR SF-01</t>
  </si>
  <si>
    <t>19.2 animals 2nd parity service target</t>
  </si>
  <si>
    <t>3- Stand overs</t>
  </si>
  <si>
    <t>GRFH-LS1</t>
  </si>
  <si>
    <t>GRFH-LS2</t>
  </si>
  <si>
    <t>GRFH-LS3</t>
  </si>
  <si>
    <t>GRFH-LS4</t>
  </si>
  <si>
    <t>GRFH-LS5</t>
  </si>
  <si>
    <t>Trans feed and Lactate sow</t>
  </si>
  <si>
    <t>104kgs total litter mass</t>
  </si>
  <si>
    <t>7.5kgs Avg wean weight</t>
  </si>
  <si>
    <t>7.5kgs -avg piglet weight</t>
  </si>
  <si>
    <t>service target of 64.8</t>
  </si>
  <si>
    <t>GRFH3-04</t>
  </si>
  <si>
    <t>GRFH3-01</t>
  </si>
  <si>
    <t>GRFH3-03</t>
  </si>
  <si>
    <t>GRFH4-01</t>
  </si>
  <si>
    <t>GRFH4-03</t>
  </si>
  <si>
    <t>GRFH4-04</t>
  </si>
  <si>
    <t>GRFH5-01</t>
  </si>
  <si>
    <t>GRFH5-03</t>
  </si>
  <si>
    <t>GRFH5-04</t>
  </si>
  <si>
    <t>As per Sow Feed schedule - Farr page, 2.5kgs of Super flush at weaning</t>
  </si>
  <si>
    <t>GRWH -01</t>
  </si>
  <si>
    <t>GRWH -02</t>
  </si>
  <si>
    <t>GRWH -03</t>
  </si>
  <si>
    <t>GRWH -04</t>
  </si>
  <si>
    <t>GRWH -05</t>
  </si>
  <si>
    <t>GRWH -06</t>
  </si>
  <si>
    <t>7.2 (range 7.0 to 7.5)</t>
  </si>
  <si>
    <t>28 (range 27to 29)</t>
  </si>
  <si>
    <t>0.539 (alert - below 0.460)</t>
  </si>
  <si>
    <t>1.45 (alert - above 1.52)</t>
  </si>
  <si>
    <t>10weeks of age</t>
  </si>
  <si>
    <t>GRGH-01</t>
  </si>
  <si>
    <t>GRGH-02</t>
  </si>
  <si>
    <t>GRGH-03</t>
  </si>
  <si>
    <t>GRGH-04</t>
  </si>
  <si>
    <t>GRGH-05</t>
  </si>
  <si>
    <t>GRGH-06</t>
  </si>
  <si>
    <t>GRGH-07</t>
  </si>
  <si>
    <t>GRGH-08</t>
  </si>
  <si>
    <t>GRGH-09</t>
  </si>
  <si>
    <t>GRGH-10</t>
  </si>
  <si>
    <t>GRGH-11</t>
  </si>
  <si>
    <t>GRGH-12</t>
  </si>
  <si>
    <t>GRGH-13</t>
  </si>
  <si>
    <t>GRGH-14</t>
  </si>
  <si>
    <t>29 (range 27to 29)</t>
  </si>
  <si>
    <t>30 (range 27to 29)</t>
  </si>
  <si>
    <t>31 (range 27to 29)</t>
  </si>
  <si>
    <t>32 (range 27to 29)</t>
  </si>
  <si>
    <t>33 (range 27to 29)</t>
  </si>
  <si>
    <t>34 (range 27to 29)</t>
  </si>
  <si>
    <t>35 (range 27to 29)</t>
  </si>
  <si>
    <t>36 (range 27to 29)</t>
  </si>
  <si>
    <t>37 (range 27to 29)</t>
  </si>
  <si>
    <t>38 (range 27to 29)</t>
  </si>
  <si>
    <t>39 (range 27to 29)</t>
  </si>
  <si>
    <t>40 (range 27to 29)</t>
  </si>
  <si>
    <t>41 (range 27to 29)</t>
  </si>
  <si>
    <t>988 PIG/HOUSE</t>
  </si>
  <si>
    <t>GRASMERE</t>
  </si>
  <si>
    <r>
      <t xml:space="preserve">22 gilts served </t>
    </r>
    <r>
      <rPr>
        <b/>
        <sz val="11"/>
        <color theme="1"/>
        <rFont val="Aptos Narrow"/>
        <family val="2"/>
        <scheme val="minor"/>
      </rPr>
      <t>@ 31-33weeks</t>
    </r>
  </si>
  <si>
    <t>210 - 220</t>
  </si>
  <si>
    <t>189 - 198</t>
  </si>
  <si>
    <t>254-263</t>
  </si>
  <si>
    <t>17 x 2nd parity retunr to farrow house</t>
  </si>
  <si>
    <t>1st vaccine - farrowsure (gilt) 25 weeks</t>
  </si>
  <si>
    <t>Vaccine porcillis 11 weeks pregnant every pregnancy cycle</t>
  </si>
  <si>
    <t>Vaccine porcillis 13 weeks pregnant every pregnancy cycle</t>
  </si>
  <si>
    <t>Porcillis 2 mls @ 11 weeks preg, Porcillis vaccine 2mls @13 weeks preg and farrowsure vaccine 2mls @ 14 weeks preg</t>
  </si>
  <si>
    <t>35weeks (alert to cull)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</si>
</sst>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00"/>
    <numFmt numFmtId="166" formatCode="0.0%"/>
    <numFmt numFmtId="167" formatCode="#,##0.0"/>
    <numFmt numFmtId="168" formatCode="0.0"/>
    <numFmt numFmtId="169" formatCode="#,##0.000"/>
  </numFmts>
  <fonts count="30" x14ac:knownFonts="1">
    <font>
      <sz val="11"/>
      <color theme="1"/>
      <name val="Aptos Narrow"/>
      <family val="2"/>
      <scheme val="minor"/>
    </font>
    <font>
      <b/>
      <sz val="9"/>
      <color rgb="FFFFFFFF"/>
      <name val="Aptos Narrow"/>
      <family val="2"/>
      <scheme val="minor"/>
    </font>
    <font>
      <sz val="9"/>
      <color rgb="FF2C3E50"/>
      <name val="Aptos Narrow"/>
      <family val="2"/>
      <scheme val="minor"/>
    </font>
    <font>
      <sz val="9"/>
      <color rgb="FFC0392B"/>
      <name val="Aptos Narrow"/>
      <family val="2"/>
      <scheme val="minor"/>
    </font>
    <font>
      <b/>
      <sz val="9"/>
      <color rgb="FF2C3E50"/>
      <name val="Aptos Narrow"/>
      <family val="2"/>
      <scheme val="minor"/>
    </font>
    <font>
      <sz val="8"/>
      <name val="Aptos Narrow"/>
      <family val="2"/>
      <scheme val="minor"/>
    </font>
    <font>
      <sz val="11"/>
      <color theme="1"/>
      <name val="Aptos Narrow"/>
      <family val="2"/>
      <scheme val="minor"/>
    </font>
    <font>
      <sz val="11"/>
      <color rgb="FFFF0000"/>
      <name val="Aptos Narrow"/>
      <family val="2"/>
      <scheme val="minor"/>
    </font>
    <font>
      <b/>
      <sz val="11"/>
      <color indexed="8"/>
      <name val="Calibri"/>
      <family val="2"/>
    </font>
    <font>
      <sz val="9"/>
      <color indexed="81"/>
      <name val="Tahoma"/>
      <family val="2"/>
    </font>
    <font>
      <b/>
      <sz val="9"/>
      <color indexed="81"/>
      <name val="Tahoma"/>
      <family val="2"/>
    </font>
    <font>
      <sz val="12"/>
      <color theme="1"/>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1"/>
      <name val="Aptos Narrow"/>
      <family val="2"/>
      <scheme val="minor"/>
    </font>
    <font>
      <sz val="11"/>
      <name val="Aptos Narrow"/>
      <family val="2"/>
      <scheme val="minor"/>
    </font>
    <font>
      <b/>
      <sz val="16"/>
      <color theme="1"/>
      <name val="Aptos Narrow"/>
      <family val="2"/>
      <scheme val="minor"/>
    </font>
    <font>
      <b/>
      <sz val="12"/>
      <color theme="1"/>
      <name val="Aptos Narrow"/>
      <family val="2"/>
      <scheme val="minor"/>
    </font>
    <font>
      <b/>
      <sz val="14"/>
      <color theme="1"/>
      <name val="Aptos Narrow"/>
      <family val="2"/>
      <scheme val="minor"/>
    </font>
    <font>
      <b/>
      <sz val="12"/>
      <color rgb="FFFF0000"/>
      <name val="Aptos Narrow"/>
      <family val="2"/>
      <scheme val="minor"/>
    </font>
    <font>
      <sz val="12"/>
      <color rgb="FFFF0000"/>
      <name val="Aptos Narrow"/>
      <family val="2"/>
      <scheme val="minor"/>
    </font>
    <font>
      <sz val="11"/>
      <color theme="1"/>
      <name val="Calibri"/>
      <family val="2"/>
    </font>
    <font>
      <b/>
      <sz val="11"/>
      <color theme="1"/>
      <name val="Calibri"/>
      <family val="2"/>
    </font>
    <font>
      <sz val="11"/>
      <color rgb="FFFF0000"/>
      <name val="Calibri"/>
      <family val="2"/>
    </font>
    <font>
      <sz val="11"/>
      <name val="Calibri"/>
      <family val="2"/>
    </font>
    <font>
      <b/>
      <sz val="9"/>
      <color indexed="8"/>
      <name val="Calibri"/>
      <family val="2"/>
    </font>
    <font>
      <sz val="9"/>
      <color theme="1"/>
      <name val="Aptos Narrow"/>
      <family val="2"/>
      <scheme val="minor"/>
    </font>
    <font>
      <b/>
      <sz val="18"/>
      <color indexed="8"/>
      <name val="Calibri"/>
      <family val="2"/>
    </font>
    <font>
      <b/>
      <sz val="18"/>
      <color theme="1"/>
      <name val="Aptos Narrow"/>
      <family val="2"/>
      <scheme val="minor"/>
    </font>
  </fonts>
  <fills count="19">
    <fill>
      <patternFill patternType="none"/>
    </fill>
    <fill>
      <patternFill patternType="gray125"/>
    </fill>
    <fill>
      <patternFill patternType="solid">
        <fgColor rgb="FFD5F5E3"/>
      </patternFill>
    </fill>
    <fill>
      <patternFill patternType="solid">
        <fgColor rgb="FFD6EAF8"/>
      </patternFill>
    </fill>
    <fill>
      <patternFill patternType="solid">
        <fgColor rgb="FFF2F3F4"/>
      </patternFill>
    </fill>
    <fill>
      <patternFill patternType="solid">
        <fgColor rgb="FFFFFFFF"/>
      </patternFill>
    </fill>
    <fill>
      <patternFill patternType="solid">
        <fgColor rgb="FFFEF9E7"/>
      </patternFill>
    </fill>
    <fill>
      <patternFill patternType="solid">
        <fgColor rgb="FF2E86C1"/>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22"/>
      </patternFill>
    </fill>
    <fill>
      <patternFill patternType="solid">
        <fgColor theme="0" tint="-0.249977111117893"/>
        <bgColor indexed="64"/>
      </patternFill>
    </fill>
    <fill>
      <patternFill patternType="solid">
        <fgColor theme="4" tint="0.79998168889431442"/>
        <bgColor indexed="22"/>
      </patternFill>
    </fill>
    <fill>
      <patternFill patternType="solid">
        <fgColor rgb="FF92D050"/>
        <bgColor indexed="49"/>
      </patternFill>
    </fill>
    <fill>
      <patternFill patternType="solid">
        <fgColor theme="4" tint="0.79998168889431442"/>
        <bgColor indexed="64"/>
      </patternFill>
    </fill>
    <fill>
      <patternFill patternType="solid">
        <fgColor rgb="FF92D050"/>
        <bgColor indexed="64"/>
      </patternFill>
    </fill>
    <fill>
      <patternFill patternType="solid">
        <fgColor theme="4" tint="0.79998168889431442"/>
        <bgColor indexed="13"/>
      </patternFill>
    </fill>
    <fill>
      <patternFill patternType="solid">
        <fgColor theme="8" tint="0.79998168889431442"/>
        <bgColor indexed="64"/>
      </patternFill>
    </fill>
  </fills>
  <borders count="90">
    <border>
      <left/>
      <right/>
      <top/>
      <bottom/>
      <diagonal/>
    </border>
    <border>
      <left style="thin">
        <color rgb="FFCCCCCC"/>
      </left>
      <right style="thin">
        <color rgb="FFCCCCCC"/>
      </right>
      <top style="thin">
        <color rgb="FFCCCCCC"/>
      </top>
      <bottom style="thin">
        <color rgb="FFCCCCCC"/>
      </bottom>
      <diagonal/>
    </border>
    <border>
      <left style="medium">
        <color indexed="64"/>
      </left>
      <right style="thin">
        <color indexed="64"/>
      </right>
      <top style="medium">
        <color indexed="64"/>
      </top>
      <bottom style="medium">
        <color indexed="8"/>
      </bottom>
      <diagonal/>
    </border>
    <border>
      <left style="thin">
        <color indexed="64"/>
      </left>
      <right style="thin">
        <color indexed="64"/>
      </right>
      <top style="medium">
        <color indexed="64"/>
      </top>
      <bottom style="medium">
        <color indexed="8"/>
      </bottom>
      <diagonal/>
    </border>
    <border>
      <left style="thin">
        <color indexed="64"/>
      </left>
      <right style="medium">
        <color indexed="64"/>
      </right>
      <top style="medium">
        <color indexed="64"/>
      </top>
      <bottom style="medium">
        <color indexed="8"/>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8"/>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style="thin">
        <color auto="1"/>
      </left>
      <right/>
      <top/>
      <bottom style="thin">
        <color auto="1"/>
      </bottom>
      <diagonal/>
    </border>
    <border>
      <left style="medium">
        <color auto="1"/>
      </left>
      <right/>
      <top style="medium">
        <color auto="1"/>
      </top>
      <bottom/>
      <diagonal/>
    </border>
    <border>
      <left style="thin">
        <color auto="1"/>
      </left>
      <right/>
      <top style="thin">
        <color auto="1"/>
      </top>
      <bottom/>
      <diagonal/>
    </border>
    <border>
      <left style="medium">
        <color auto="1"/>
      </left>
      <right/>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indexed="64"/>
      </right>
      <top style="medium">
        <color auto="1"/>
      </top>
      <bottom style="thin">
        <color auto="1"/>
      </bottom>
      <diagonal/>
    </border>
    <border>
      <left style="medium">
        <color indexed="64"/>
      </left>
      <right style="medium">
        <color indexed="64"/>
      </right>
      <top style="medium">
        <color indexed="64"/>
      </top>
      <bottom style="thin">
        <color auto="1"/>
      </bottom>
      <diagonal/>
    </border>
    <border>
      <left/>
      <right/>
      <top style="thin">
        <color auto="1"/>
      </top>
      <bottom style="thin">
        <color auto="1"/>
      </bottom>
      <diagonal/>
    </border>
    <border>
      <left style="medium">
        <color auto="1"/>
      </left>
      <right/>
      <top/>
      <bottom style="thin">
        <color auto="1"/>
      </bottom>
      <diagonal/>
    </border>
    <border>
      <left style="medium">
        <color indexed="64"/>
      </left>
      <right style="medium">
        <color indexed="64"/>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indexed="64"/>
      </left>
      <right style="medium">
        <color indexed="64"/>
      </right>
      <top style="thin">
        <color auto="1"/>
      </top>
      <bottom style="thin">
        <color auto="1"/>
      </bottom>
      <diagonal/>
    </border>
    <border>
      <left/>
      <right/>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bottom style="medium">
        <color auto="1"/>
      </bottom>
      <diagonal/>
    </border>
    <border>
      <left style="medium">
        <color indexed="64"/>
      </left>
      <right style="medium">
        <color indexed="64"/>
      </right>
      <top style="thin">
        <color auto="1"/>
      </top>
      <bottom style="medium">
        <color indexed="64"/>
      </bottom>
      <diagonal/>
    </border>
    <border>
      <left/>
      <right/>
      <top style="thin">
        <color auto="1"/>
      </top>
      <bottom/>
      <diagonal/>
    </border>
    <border>
      <left style="medium">
        <color auto="1"/>
      </left>
      <right style="medium">
        <color indexed="64"/>
      </right>
      <top style="thin">
        <color auto="1"/>
      </top>
      <bottom/>
      <diagonal/>
    </border>
    <border>
      <left style="medium">
        <color auto="1"/>
      </left>
      <right/>
      <top style="medium">
        <color auto="1"/>
      </top>
      <bottom style="thin">
        <color auto="1"/>
      </bottom>
      <diagonal/>
    </border>
    <border>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8"/>
      </bottom>
      <diagonal/>
    </border>
    <border>
      <left style="thin">
        <color indexed="64"/>
      </left>
      <right style="thin">
        <color indexed="64"/>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64"/>
      </top>
      <bottom/>
      <diagonal/>
    </border>
    <border>
      <left style="thin">
        <color indexed="64"/>
      </left>
      <right style="thin">
        <color indexed="64"/>
      </right>
      <top style="thin">
        <color indexed="8"/>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8"/>
      </bottom>
      <diagonal/>
    </border>
    <border>
      <left style="thin">
        <color indexed="64"/>
      </left>
      <right style="thin">
        <color indexed="64"/>
      </right>
      <top/>
      <bottom style="thin">
        <color indexed="8"/>
      </bottom>
      <diagonal/>
    </border>
    <border>
      <left style="thin">
        <color indexed="64"/>
      </left>
      <right style="medium">
        <color indexed="64"/>
      </right>
      <top/>
      <bottom style="thin">
        <color indexed="8"/>
      </bottom>
      <diagonal/>
    </border>
    <border>
      <left/>
      <right style="medium">
        <color indexed="64"/>
      </right>
      <top style="thin">
        <color indexed="8"/>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8"/>
      </top>
      <bottom/>
      <diagonal/>
    </border>
    <border>
      <left style="thin">
        <color indexed="64"/>
      </left>
      <right style="thin">
        <color indexed="64"/>
      </right>
      <top style="thin">
        <color indexed="8"/>
      </top>
      <bottom/>
      <diagonal/>
    </border>
    <border>
      <left/>
      <right style="medium">
        <color indexed="64"/>
      </right>
      <top style="thin">
        <color indexed="8"/>
      </top>
      <bottom/>
      <diagonal/>
    </border>
    <border>
      <left/>
      <right/>
      <top style="thin">
        <color indexed="64"/>
      </top>
      <bottom/>
      <diagonal/>
    </border>
    <border>
      <left/>
      <right/>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8"/>
      </top>
      <bottom/>
      <diagonal/>
    </border>
    <border>
      <left style="medium">
        <color indexed="64"/>
      </left>
      <right style="thin">
        <color indexed="64"/>
      </right>
      <top/>
      <bottom style="thin">
        <color indexed="8"/>
      </bottom>
      <diagonal/>
    </border>
    <border>
      <left style="thin">
        <color indexed="64"/>
      </left>
      <right style="thin">
        <color indexed="64"/>
      </right>
      <top/>
      <bottom style="thin">
        <color indexed="8"/>
      </bottom>
      <diagonal/>
    </border>
    <border>
      <left style="thin">
        <color indexed="64"/>
      </left>
      <right style="medium">
        <color indexed="64"/>
      </right>
      <top/>
      <bottom style="thin">
        <color indexed="8"/>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3">
    <xf numFmtId="0" fontId="0" fillId="0" borderId="0"/>
    <xf numFmtId="9" fontId="6" fillId="0" borderId="0" applyFont="0" applyFill="0" applyBorder="0" applyAlignment="0" applyProtection="0"/>
    <xf numFmtId="164" fontId="6" fillId="0" borderId="0" applyFont="0" applyFill="0" applyBorder="0" applyAlignment="0" applyProtection="0"/>
  </cellStyleXfs>
  <cellXfs count="431">
    <xf numFmtId="0" fontId="0" fillId="0" borderId="0" xfId="0"/>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9" fontId="0" fillId="0" borderId="0" xfId="0" applyNumberFormat="1"/>
    <xf numFmtId="0" fontId="4" fillId="9"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0"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0" fillId="0" borderId="0" xfId="0" applyAlignment="1">
      <alignment horizontal="center"/>
    </xf>
    <xf numFmtId="166" fontId="0" fillId="0" borderId="0" xfId="1" applyNumberFormat="1" applyFont="1" applyFill="1" applyAlignment="1">
      <alignment horizontal="center"/>
    </xf>
    <xf numFmtId="9" fontId="0" fillId="0" borderId="0" xfId="0" applyNumberFormat="1" applyAlignment="1">
      <alignment horizontal="center"/>
    </xf>
    <xf numFmtId="0" fontId="0" fillId="0" borderId="0" xfId="0" applyAlignment="1">
      <alignment wrapText="1"/>
    </xf>
    <xf numFmtId="0" fontId="8" fillId="0" borderId="2" xfId="0" applyFont="1" applyBorder="1"/>
    <xf numFmtId="0" fontId="8" fillId="0" borderId="3" xfId="0" applyFont="1" applyBorder="1"/>
    <xf numFmtId="0" fontId="8" fillId="0" borderId="4" xfId="0" applyFont="1" applyBorder="1"/>
    <xf numFmtId="0" fontId="0" fillId="11" borderId="5" xfId="0" applyFill="1" applyBorder="1"/>
    <xf numFmtId="0" fontId="0" fillId="11" borderId="6" xfId="0" applyFill="1" applyBorder="1"/>
    <xf numFmtId="0" fontId="0" fillId="11" borderId="7" xfId="0" applyFill="1" applyBorder="1"/>
    <xf numFmtId="0" fontId="0" fillId="0" borderId="5" xfId="0" applyBorder="1"/>
    <xf numFmtId="0" fontId="0" fillId="0" borderId="6" xfId="0" applyBorder="1"/>
    <xf numFmtId="0" fontId="0" fillId="0" borderId="7" xfId="0" applyBorder="1"/>
    <xf numFmtId="0" fontId="0" fillId="0" borderId="9" xfId="0" applyBorder="1"/>
    <xf numFmtId="0" fontId="0" fillId="0" borderId="10" xfId="0" applyBorder="1"/>
    <xf numFmtId="0" fontId="0" fillId="0" borderId="11" xfId="0" applyBorder="1"/>
    <xf numFmtId="0" fontId="11" fillId="0" borderId="0" xfId="0" applyFont="1"/>
    <xf numFmtId="0" fontId="12" fillId="8" borderId="0" xfId="0" applyFont="1" applyFill="1" applyAlignment="1">
      <alignment vertical="center"/>
    </xf>
    <xf numFmtId="0" fontId="0" fillId="8" borderId="0" xfId="0" applyFill="1" applyAlignment="1">
      <alignment horizontal="center" vertical="center"/>
    </xf>
    <xf numFmtId="0" fontId="0" fillId="8" borderId="0" xfId="0" applyFill="1" applyAlignment="1">
      <alignment vertical="center"/>
    </xf>
    <xf numFmtId="0" fontId="0" fillId="8" borderId="15" xfId="0" applyFill="1" applyBorder="1" applyAlignment="1">
      <alignment vertical="center"/>
    </xf>
    <xf numFmtId="0" fontId="0" fillId="8" borderId="16" xfId="0" applyFill="1" applyBorder="1" applyAlignment="1">
      <alignment horizontal="center" vertical="center"/>
    </xf>
    <xf numFmtId="0" fontId="0" fillId="8" borderId="15" xfId="0" applyFill="1" applyBorder="1" applyAlignment="1">
      <alignment horizontal="center" vertical="center"/>
    </xf>
    <xf numFmtId="0" fontId="0" fillId="8" borderId="12" xfId="0" applyFill="1" applyBorder="1" applyAlignment="1">
      <alignment horizontal="center" vertical="center"/>
    </xf>
    <xf numFmtId="0" fontId="0" fillId="8" borderId="17" xfId="0" applyFill="1" applyBorder="1" applyAlignment="1">
      <alignment vertical="center"/>
    </xf>
    <xf numFmtId="0" fontId="12" fillId="8" borderId="18" xfId="0" applyFont="1" applyFill="1" applyBorder="1" applyAlignment="1">
      <alignment horizontal="center" vertical="center"/>
    </xf>
    <xf numFmtId="0" fontId="0" fillId="8" borderId="18" xfId="0" applyFill="1" applyBorder="1" applyAlignment="1">
      <alignment horizontal="center" vertical="center"/>
    </xf>
    <xf numFmtId="0" fontId="14" fillId="8" borderId="19" xfId="0" applyFont="1" applyFill="1" applyBorder="1" applyAlignment="1">
      <alignment vertical="center"/>
    </xf>
    <xf numFmtId="0" fontId="14" fillId="8" borderId="12" xfId="0" applyFont="1" applyFill="1" applyBorder="1" applyAlignment="1">
      <alignment horizontal="center" vertical="center"/>
    </xf>
    <xf numFmtId="0" fontId="14" fillId="8" borderId="15" xfId="0" applyFont="1" applyFill="1" applyBorder="1" applyAlignment="1">
      <alignment horizontal="center" vertical="center"/>
    </xf>
    <xf numFmtId="0" fontId="14" fillId="8" borderId="20" xfId="0" applyFont="1" applyFill="1" applyBorder="1" applyAlignment="1">
      <alignment horizontal="center" vertical="center"/>
    </xf>
    <xf numFmtId="0" fontId="14" fillId="8" borderId="21" xfId="0" applyFont="1" applyFill="1" applyBorder="1" applyAlignment="1">
      <alignment horizontal="center" vertical="center"/>
    </xf>
    <xf numFmtId="0" fontId="14" fillId="8" borderId="22" xfId="0" applyFont="1" applyFill="1" applyBorder="1" applyAlignment="1">
      <alignment horizontal="center" vertical="center"/>
    </xf>
    <xf numFmtId="0" fontId="14" fillId="8" borderId="0" xfId="0" applyFont="1" applyFill="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0" xfId="0" applyFont="1" applyFill="1" applyAlignment="1">
      <alignment vertical="center"/>
    </xf>
    <xf numFmtId="0" fontId="12" fillId="12" borderId="15" xfId="0" applyFont="1" applyFill="1" applyBorder="1" applyAlignment="1">
      <alignment horizontal="center" vertical="center"/>
    </xf>
    <xf numFmtId="4" fontId="12" fillId="12" borderId="24" xfId="0" applyNumberFormat="1" applyFont="1" applyFill="1" applyBorder="1" applyAlignment="1">
      <alignment horizontal="center" vertical="center"/>
    </xf>
    <xf numFmtId="0" fontId="12" fillId="12" borderId="21" xfId="0" applyFont="1" applyFill="1" applyBorder="1" applyAlignment="1">
      <alignment horizontal="center" vertical="center"/>
    </xf>
    <xf numFmtId="20" fontId="0" fillId="8" borderId="0" xfId="0" applyNumberFormat="1" applyFill="1" applyAlignment="1">
      <alignment vertical="center"/>
    </xf>
    <xf numFmtId="0" fontId="0" fillId="8" borderId="25" xfId="0" applyFill="1" applyBorder="1" applyAlignment="1">
      <alignment horizontal="center" vertical="center"/>
    </xf>
    <xf numFmtId="0" fontId="0" fillId="8" borderId="26" xfId="0" applyFill="1" applyBorder="1" applyAlignment="1">
      <alignment horizontal="center" vertical="center"/>
    </xf>
    <xf numFmtId="0" fontId="0" fillId="8" borderId="27" xfId="0" applyFill="1" applyBorder="1" applyAlignment="1">
      <alignment horizontal="center" vertical="center"/>
    </xf>
    <xf numFmtId="0" fontId="0" fillId="8" borderId="28" xfId="0" applyFill="1" applyBorder="1" applyAlignment="1">
      <alignment horizontal="center" vertical="center"/>
    </xf>
    <xf numFmtId="0" fontId="0" fillId="8" borderId="29" xfId="0" applyFill="1" applyBorder="1" applyAlignment="1">
      <alignment horizontal="center" vertical="center"/>
    </xf>
    <xf numFmtId="0" fontId="0" fillId="8" borderId="30" xfId="0" applyFill="1" applyBorder="1" applyAlignment="1">
      <alignment horizontal="center" vertical="center"/>
    </xf>
    <xf numFmtId="0" fontId="0" fillId="8" borderId="31" xfId="0" applyFill="1" applyBorder="1" applyAlignment="1">
      <alignment horizontal="center" vertical="center"/>
    </xf>
    <xf numFmtId="0" fontId="0" fillId="8" borderId="32" xfId="0" applyFill="1" applyBorder="1" applyAlignment="1">
      <alignment vertical="center"/>
    </xf>
    <xf numFmtId="0" fontId="0" fillId="8" borderId="21" xfId="0" applyFill="1" applyBorder="1" applyAlignment="1">
      <alignment horizontal="center" vertical="center"/>
    </xf>
    <xf numFmtId="0" fontId="0" fillId="8" borderId="32" xfId="0" applyFill="1" applyBorder="1" applyAlignment="1">
      <alignment horizontal="center" vertical="center"/>
    </xf>
    <xf numFmtId="0" fontId="0" fillId="8" borderId="33" xfId="0" applyFill="1" applyBorder="1" applyAlignment="1">
      <alignment horizontal="center" vertical="center"/>
    </xf>
    <xf numFmtId="0" fontId="0" fillId="8" borderId="34" xfId="0" applyFill="1" applyBorder="1" applyAlignment="1">
      <alignment horizontal="center" vertical="center"/>
    </xf>
    <xf numFmtId="0" fontId="12" fillId="12" borderId="12" xfId="0" applyFont="1" applyFill="1" applyBorder="1" applyAlignment="1">
      <alignment horizontal="center" vertical="center"/>
    </xf>
    <xf numFmtId="0" fontId="12" fillId="12" borderId="13" xfId="0" applyFont="1" applyFill="1" applyBorder="1" applyAlignment="1">
      <alignment horizontal="center" vertical="center"/>
    </xf>
    <xf numFmtId="0" fontId="0" fillId="8" borderId="35" xfId="0" applyFill="1" applyBorder="1" applyAlignment="1">
      <alignment horizontal="center" vertical="center"/>
    </xf>
    <xf numFmtId="0" fontId="12" fillId="8" borderId="22" xfId="0" applyFont="1" applyFill="1" applyBorder="1" applyAlignment="1">
      <alignment horizontal="center" vertical="center"/>
    </xf>
    <xf numFmtId="2" fontId="12" fillId="12" borderId="24" xfId="0" applyNumberFormat="1" applyFont="1" applyFill="1" applyBorder="1" applyAlignment="1">
      <alignment horizontal="center" vertical="center"/>
    </xf>
    <xf numFmtId="0" fontId="12" fillId="12" borderId="24" xfId="0" applyFont="1" applyFill="1" applyBorder="1" applyAlignment="1">
      <alignment horizontal="center" vertical="center"/>
    </xf>
    <xf numFmtId="0" fontId="15" fillId="8" borderId="24" xfId="0" applyFont="1" applyFill="1" applyBorder="1" applyAlignment="1">
      <alignment horizontal="center" vertical="center"/>
    </xf>
    <xf numFmtId="0" fontId="16" fillId="8" borderId="20" xfId="0" applyFont="1" applyFill="1" applyBorder="1" applyAlignment="1">
      <alignment horizontal="center" vertical="center"/>
    </xf>
    <xf numFmtId="0" fontId="16" fillId="8" borderId="24" xfId="0" applyFont="1" applyFill="1" applyBorder="1" applyAlignment="1">
      <alignment horizontal="center" vertical="center"/>
    </xf>
    <xf numFmtId="0" fontId="16" fillId="8" borderId="36" xfId="0" applyFont="1" applyFill="1" applyBorder="1" applyAlignment="1">
      <alignment horizontal="center" vertical="center"/>
    </xf>
    <xf numFmtId="0" fontId="16" fillId="8" borderId="21" xfId="0" applyFont="1" applyFill="1" applyBorder="1" applyAlignment="1">
      <alignment horizontal="center" vertical="center"/>
    </xf>
    <xf numFmtId="0" fontId="16" fillId="8" borderId="22" xfId="0" applyFont="1" applyFill="1" applyBorder="1" applyAlignment="1">
      <alignment horizontal="center" vertical="center"/>
    </xf>
    <xf numFmtId="0" fontId="16" fillId="8" borderId="19" xfId="0" applyFont="1" applyFill="1" applyBorder="1" applyAlignment="1">
      <alignment horizontal="center" vertical="center"/>
    </xf>
    <xf numFmtId="0" fontId="16" fillId="8" borderId="37" xfId="0" applyFont="1" applyFill="1" applyBorder="1" applyAlignment="1">
      <alignment horizontal="center" vertical="center"/>
    </xf>
    <xf numFmtId="0" fontId="16" fillId="8" borderId="38" xfId="0" applyFont="1" applyFill="1" applyBorder="1" applyAlignment="1">
      <alignment horizontal="center" vertical="center"/>
    </xf>
    <xf numFmtId="0" fontId="16" fillId="8" borderId="29" xfId="0" applyFont="1" applyFill="1" applyBorder="1" applyAlignment="1">
      <alignment horizontal="center" vertical="center"/>
    </xf>
    <xf numFmtId="0" fontId="16" fillId="8" borderId="15" xfId="0" applyFont="1" applyFill="1" applyBorder="1" applyAlignment="1">
      <alignment vertical="center"/>
    </xf>
    <xf numFmtId="0" fontId="15" fillId="8" borderId="12" xfId="0" applyFont="1" applyFill="1" applyBorder="1" applyAlignment="1">
      <alignment horizontal="center" vertical="center"/>
    </xf>
    <xf numFmtId="0" fontId="15" fillId="8" borderId="15" xfId="0" applyFont="1" applyFill="1" applyBorder="1" applyAlignment="1">
      <alignment horizontal="center" vertical="center"/>
    </xf>
    <xf numFmtId="0" fontId="15" fillId="8" borderId="0" xfId="0" applyFont="1" applyFill="1" applyAlignment="1">
      <alignment horizontal="center" vertical="center"/>
    </xf>
    <xf numFmtId="0" fontId="16" fillId="9" borderId="15" xfId="0" applyFont="1" applyFill="1" applyBorder="1" applyAlignment="1">
      <alignment vertical="center"/>
    </xf>
    <xf numFmtId="0" fontId="15" fillId="9" borderId="12" xfId="0" applyFont="1" applyFill="1" applyBorder="1" applyAlignment="1">
      <alignment horizontal="center" vertical="center"/>
    </xf>
    <xf numFmtId="0" fontId="15" fillId="9" borderId="15" xfId="0" applyFont="1" applyFill="1" applyBorder="1" applyAlignment="1">
      <alignment horizontal="center" vertical="center"/>
    </xf>
    <xf numFmtId="0" fontId="15" fillId="9" borderId="14" xfId="0" applyFont="1" applyFill="1" applyBorder="1" applyAlignment="1">
      <alignment horizontal="center" vertical="center"/>
    </xf>
    <xf numFmtId="0" fontId="15" fillId="9" borderId="0" xfId="0" applyFont="1" applyFill="1" applyAlignment="1">
      <alignment horizontal="center" vertical="center"/>
    </xf>
    <xf numFmtId="0" fontId="15" fillId="9" borderId="13" xfId="0" applyFont="1" applyFill="1" applyBorder="1" applyAlignment="1">
      <alignment horizontal="center" vertical="center"/>
    </xf>
    <xf numFmtId="0" fontId="7" fillId="8" borderId="0" xfId="0" applyFont="1" applyFill="1" applyAlignment="1">
      <alignment horizontal="left" vertical="center"/>
    </xf>
    <xf numFmtId="0" fontId="16" fillId="8" borderId="0" xfId="0" applyFont="1" applyFill="1" applyAlignment="1">
      <alignment vertical="center"/>
    </xf>
    <xf numFmtId="164" fontId="13" fillId="8" borderId="0" xfId="2" applyFont="1" applyFill="1" applyAlignment="1">
      <alignment vertical="center"/>
    </xf>
    <xf numFmtId="167" fontId="12" fillId="12" borderId="15" xfId="0" applyNumberFormat="1" applyFont="1" applyFill="1" applyBorder="1" applyAlignment="1">
      <alignment horizontal="center" vertical="center"/>
    </xf>
    <xf numFmtId="4" fontId="12" fillId="12" borderId="12" xfId="0" applyNumberFormat="1" applyFont="1" applyFill="1" applyBorder="1" applyAlignment="1">
      <alignment horizontal="center" vertical="center"/>
    </xf>
    <xf numFmtId="4" fontId="12" fillId="12" borderId="15" xfId="0" applyNumberFormat="1" applyFont="1" applyFill="1" applyBorder="1" applyAlignment="1">
      <alignment horizontal="center" vertical="center"/>
    </xf>
    <xf numFmtId="4" fontId="12" fillId="12" borderId="13" xfId="0" applyNumberFormat="1" applyFont="1" applyFill="1" applyBorder="1" applyAlignment="1">
      <alignment horizontal="center" vertical="center"/>
    </xf>
    <xf numFmtId="0" fontId="17" fillId="0" borderId="0" xfId="0" applyFont="1"/>
    <xf numFmtId="0" fontId="11" fillId="0" borderId="0" xfId="0" applyFont="1" applyAlignment="1">
      <alignment horizontal="center" vertical="center"/>
    </xf>
    <xf numFmtId="0" fontId="18" fillId="0" borderId="0" xfId="0" applyFont="1" applyAlignment="1">
      <alignment horizontal="center"/>
    </xf>
    <xf numFmtId="0" fontId="11" fillId="0" borderId="15" xfId="0" applyFont="1" applyBorder="1"/>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1" fillId="0" borderId="18" xfId="0" applyFont="1" applyBorder="1" applyAlignment="1">
      <alignment horizontal="center" vertical="center"/>
    </xf>
    <xf numFmtId="0" fontId="11" fillId="0" borderId="29" xfId="0" applyFont="1" applyBorder="1"/>
    <xf numFmtId="0" fontId="18" fillId="0" borderId="18" xfId="0" applyFont="1" applyBorder="1" applyAlignment="1">
      <alignment horizontal="center" vertical="center"/>
    </xf>
    <xf numFmtId="0" fontId="19" fillId="0" borderId="39" xfId="0" applyFont="1" applyBorder="1"/>
    <xf numFmtId="0" fontId="19" fillId="0" borderId="12" xfId="0" quotePrefix="1" applyFont="1" applyBorder="1" applyAlignment="1">
      <alignment horizontal="center" vertical="center"/>
    </xf>
    <xf numFmtId="0" fontId="19" fillId="0" borderId="15" xfId="0" applyFont="1" applyBorder="1" applyAlignment="1">
      <alignment horizontal="center" vertical="center"/>
    </xf>
    <xf numFmtId="0" fontId="19" fillId="0" borderId="13" xfId="0" applyFont="1" applyBorder="1" applyAlignment="1">
      <alignment horizontal="center" vertical="center"/>
    </xf>
    <xf numFmtId="0" fontId="19" fillId="0" borderId="20" xfId="0" applyFont="1" applyBorder="1" applyAlignment="1">
      <alignment horizontal="center" vertical="center"/>
    </xf>
    <xf numFmtId="0" fontId="19" fillId="0" borderId="22" xfId="0" applyFont="1" applyBorder="1" applyAlignment="1">
      <alignment horizontal="center" vertical="center"/>
    </xf>
    <xf numFmtId="0" fontId="19" fillId="0" borderId="24" xfId="0" applyFont="1" applyBorder="1" applyAlignment="1">
      <alignment horizontal="center" vertical="center"/>
    </xf>
    <xf numFmtId="0" fontId="19" fillId="0" borderId="0" xfId="0" applyFont="1" applyAlignment="1">
      <alignment horizontal="center"/>
    </xf>
    <xf numFmtId="0" fontId="19" fillId="0" borderId="0" xfId="0" applyFont="1"/>
    <xf numFmtId="0" fontId="18" fillId="12" borderId="15" xfId="0" applyFont="1" applyFill="1" applyBorder="1" applyAlignment="1">
      <alignment horizontal="center"/>
    </xf>
    <xf numFmtId="4" fontId="18" fillId="12" borderId="15" xfId="0" applyNumberFormat="1" applyFont="1" applyFill="1" applyBorder="1" applyAlignment="1">
      <alignment horizontal="center" vertical="center"/>
    </xf>
    <xf numFmtId="0" fontId="18" fillId="12" borderId="15" xfId="0" applyFont="1" applyFill="1" applyBorder="1" applyAlignment="1">
      <alignment horizontal="center" vertical="center"/>
    </xf>
    <xf numFmtId="0" fontId="18" fillId="12" borderId="12" xfId="0" applyFont="1" applyFill="1" applyBorder="1" applyAlignment="1">
      <alignment horizontal="center" vertical="center"/>
    </xf>
    <xf numFmtId="4" fontId="18" fillId="12" borderId="14" xfId="0" applyNumberFormat="1" applyFont="1" applyFill="1" applyBorder="1" applyAlignment="1">
      <alignment horizontal="center" vertical="center"/>
    </xf>
    <xf numFmtId="4" fontId="18" fillId="12" borderId="13" xfId="0" applyNumberFormat="1" applyFont="1" applyFill="1" applyBorder="1" applyAlignment="1">
      <alignment horizontal="center" vertical="center"/>
    </xf>
    <xf numFmtId="20" fontId="18" fillId="0" borderId="0" xfId="0" applyNumberFormat="1" applyFont="1" applyAlignment="1">
      <alignment horizontal="center"/>
    </xf>
    <xf numFmtId="0" fontId="11" fillId="0" borderId="40" xfId="0" applyFont="1" applyBorder="1" applyAlignment="1">
      <alignment horizontal="center" vertical="center"/>
    </xf>
    <xf numFmtId="0" fontId="11" fillId="0" borderId="26" xfId="0" applyFont="1" applyBorder="1" applyAlignment="1">
      <alignment horizontal="center" vertical="center"/>
    </xf>
    <xf numFmtId="0" fontId="11" fillId="0" borderId="27" xfId="0" applyFont="1" applyBorder="1" applyAlignment="1">
      <alignment horizontal="center" vertical="center"/>
    </xf>
    <xf numFmtId="0" fontId="11" fillId="0" borderId="23" xfId="0" applyFont="1" applyBorder="1" applyAlignment="1">
      <alignment horizontal="center" vertical="center"/>
    </xf>
    <xf numFmtId="0" fontId="11" fillId="0" borderId="29" xfId="0" applyFont="1" applyBorder="1" applyAlignment="1">
      <alignment horizontal="center" vertical="center"/>
    </xf>
    <xf numFmtId="0" fontId="11" fillId="0" borderId="25" xfId="0" applyFont="1" applyBorder="1" applyAlignment="1">
      <alignment horizontal="center" vertical="center"/>
    </xf>
    <xf numFmtId="0" fontId="11" fillId="0" borderId="32"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xf numFmtId="0" fontId="11" fillId="0" borderId="34" xfId="0" applyFont="1" applyBorder="1" applyAlignment="1">
      <alignment horizontal="center" vertical="center"/>
    </xf>
    <xf numFmtId="0" fontId="11" fillId="0" borderId="22" xfId="0" applyFont="1" applyBorder="1" applyAlignment="1">
      <alignment horizontal="center" vertical="center"/>
    </xf>
    <xf numFmtId="0" fontId="18" fillId="12" borderId="14" xfId="0" applyFont="1" applyFill="1" applyBorder="1" applyAlignment="1">
      <alignment horizontal="center" vertical="center"/>
    </xf>
    <xf numFmtId="0" fontId="18" fillId="12" borderId="13" xfId="0" applyFont="1" applyFill="1" applyBorder="1" applyAlignment="1">
      <alignment horizontal="center" vertical="center"/>
    </xf>
    <xf numFmtId="0" fontId="11" fillId="0" borderId="28" xfId="0" applyFont="1" applyBorder="1" applyAlignment="1">
      <alignment horizontal="center" vertical="center"/>
    </xf>
    <xf numFmtId="0" fontId="11" fillId="0" borderId="33" xfId="0" applyFont="1" applyBorder="1" applyAlignment="1">
      <alignment horizontal="center" vertical="center"/>
    </xf>
    <xf numFmtId="0" fontId="11" fillId="0" borderId="41" xfId="0" applyFont="1" applyBorder="1" applyAlignment="1">
      <alignment horizontal="center" vertical="center"/>
    </xf>
    <xf numFmtId="0" fontId="18" fillId="12" borderId="23" xfId="0" applyFont="1" applyFill="1" applyBorder="1" applyAlignment="1">
      <alignment horizontal="center" vertical="center"/>
    </xf>
    <xf numFmtId="0" fontId="11" fillId="0" borderId="39" xfId="0" applyFont="1" applyBorder="1"/>
    <xf numFmtId="0" fontId="11" fillId="0" borderId="21" xfId="0" applyFont="1" applyBorder="1" applyAlignment="1">
      <alignment horizontal="center" vertical="center"/>
    </xf>
    <xf numFmtId="0" fontId="11" fillId="0" borderId="39" xfId="0" applyFont="1" applyBorder="1" applyAlignment="1">
      <alignment horizontal="center" vertical="center"/>
    </xf>
    <xf numFmtId="0" fontId="18" fillId="0" borderId="22" xfId="0" applyFont="1" applyBorder="1" applyAlignment="1">
      <alignment horizontal="center"/>
    </xf>
    <xf numFmtId="0" fontId="18" fillId="0" borderId="15" xfId="0" applyFont="1" applyBorder="1" applyAlignment="1">
      <alignment horizontal="center"/>
    </xf>
    <xf numFmtId="0" fontId="20" fillId="0" borderId="12" xfId="0" applyFont="1" applyBorder="1" applyAlignment="1">
      <alignment horizontal="center" vertical="center"/>
    </xf>
    <xf numFmtId="0" fontId="20" fillId="0" borderId="15" xfId="0" applyFont="1" applyBorder="1" applyAlignment="1">
      <alignment horizontal="center" vertical="center"/>
    </xf>
    <xf numFmtId="0" fontId="20" fillId="0" borderId="0" xfId="0" applyFont="1" applyAlignment="1">
      <alignment horizontal="center" vertical="center"/>
    </xf>
    <xf numFmtId="168" fontId="20" fillId="0" borderId="12" xfId="0" applyNumberFormat="1" applyFont="1" applyBorder="1" applyAlignment="1">
      <alignment horizontal="center" vertical="center"/>
    </xf>
    <xf numFmtId="0" fontId="18" fillId="0" borderId="0" xfId="0" applyFont="1"/>
    <xf numFmtId="0" fontId="18" fillId="9" borderId="15" xfId="0" applyFont="1" applyFill="1" applyBorder="1" applyAlignment="1">
      <alignment horizontal="center"/>
    </xf>
    <xf numFmtId="0" fontId="20" fillId="9" borderId="12" xfId="0" applyFont="1" applyFill="1" applyBorder="1" applyAlignment="1">
      <alignment horizontal="center" vertical="center"/>
    </xf>
    <xf numFmtId="0" fontId="20" fillId="9" borderId="15" xfId="0" applyFont="1" applyFill="1" applyBorder="1" applyAlignment="1">
      <alignment horizontal="center" vertical="center"/>
    </xf>
    <xf numFmtId="0" fontId="20" fillId="9" borderId="14" xfId="0" applyFont="1" applyFill="1" applyBorder="1" applyAlignment="1">
      <alignment horizontal="center" vertical="center"/>
    </xf>
    <xf numFmtId="0" fontId="20" fillId="9" borderId="0" xfId="0" applyFont="1" applyFill="1" applyAlignment="1">
      <alignment horizontal="center" vertical="center"/>
    </xf>
    <xf numFmtId="0" fontId="20" fillId="9" borderId="13" xfId="0" applyFont="1" applyFill="1" applyBorder="1" applyAlignment="1">
      <alignment horizontal="center" vertical="center"/>
    </xf>
    <xf numFmtId="0" fontId="21" fillId="0" borderId="0" xfId="0" applyFont="1" applyAlignment="1">
      <alignment horizontal="left" vertical="center"/>
    </xf>
    <xf numFmtId="0" fontId="18" fillId="0" borderId="0" xfId="0" applyFont="1" applyAlignment="1">
      <alignment horizontal="center" vertical="center"/>
    </xf>
    <xf numFmtId="0" fontId="11" fillId="0" borderId="0" xfId="0" applyFont="1" applyAlignment="1">
      <alignment horizontal="center"/>
    </xf>
    <xf numFmtId="0" fontId="12" fillId="0" borderId="0" xfId="0" applyFont="1"/>
    <xf numFmtId="0" fontId="0" fillId="0" borderId="0" xfId="0" applyAlignment="1">
      <alignment vertical="center"/>
    </xf>
    <xf numFmtId="0" fontId="12" fillId="0" borderId="0" xfId="0" applyFont="1" applyAlignment="1">
      <alignment vertical="center"/>
    </xf>
    <xf numFmtId="0" fontId="0" fillId="0" borderId="42" xfId="0" applyBorder="1" applyAlignment="1">
      <alignment horizontal="center" vertical="center"/>
    </xf>
    <xf numFmtId="0" fontId="12" fillId="0" borderId="42" xfId="0" applyFont="1" applyBorder="1" applyAlignment="1">
      <alignment horizontal="center" vertical="center"/>
    </xf>
    <xf numFmtId="4" fontId="0" fillId="0" borderId="42" xfId="0" applyNumberFormat="1" applyBorder="1" applyAlignment="1">
      <alignment horizontal="center" vertical="center"/>
    </xf>
    <xf numFmtId="0" fontId="12" fillId="0" borderId="42" xfId="0" quotePrefix="1" applyFont="1" applyBorder="1" applyAlignment="1">
      <alignment horizontal="center" vertical="center"/>
    </xf>
    <xf numFmtId="4" fontId="0" fillId="0" borderId="42" xfId="0" applyNumberFormat="1" applyBorder="1"/>
    <xf numFmtId="16" fontId="0" fillId="0" borderId="0" xfId="0" applyNumberFormat="1" applyAlignment="1">
      <alignment vertical="center"/>
    </xf>
    <xf numFmtId="4" fontId="0" fillId="0" borderId="42" xfId="0" applyNumberFormat="1" applyBorder="1" applyAlignment="1">
      <alignment horizontal="center"/>
    </xf>
    <xf numFmtId="0" fontId="0" fillId="0" borderId="0" xfId="0" applyAlignment="1">
      <alignment horizontal="center" vertical="center"/>
    </xf>
    <xf numFmtId="0" fontId="23" fillId="0" borderId="14" xfId="0" applyFont="1" applyBorder="1" applyAlignment="1">
      <alignment horizontal="center" vertical="center" wrapText="1"/>
    </xf>
    <xf numFmtId="3" fontId="22" fillId="0" borderId="44" xfId="0" applyNumberFormat="1" applyFont="1" applyBorder="1" applyAlignment="1">
      <alignment horizontal="center" vertical="center" wrapText="1"/>
    </xf>
    <xf numFmtId="3" fontId="22" fillId="0" borderId="43" xfId="0" applyNumberFormat="1" applyFont="1" applyBorder="1" applyAlignment="1">
      <alignment horizontal="center" vertical="center" wrapText="1"/>
    </xf>
    <xf numFmtId="0" fontId="23" fillId="0" borderId="15" xfId="0" applyFont="1" applyBorder="1" applyAlignment="1">
      <alignment horizontal="center" vertical="center" wrapText="1"/>
    </xf>
    <xf numFmtId="3" fontId="25" fillId="0" borderId="23" xfId="0" applyNumberFormat="1" applyFont="1" applyBorder="1" applyAlignment="1">
      <alignment horizontal="center" vertical="center" wrapText="1"/>
    </xf>
    <xf numFmtId="3" fontId="22" fillId="0" borderId="32" xfId="0" applyNumberFormat="1" applyFont="1" applyBorder="1" applyAlignment="1">
      <alignment horizontal="center" vertical="center" wrapText="1"/>
    </xf>
    <xf numFmtId="3" fontId="22" fillId="0" borderId="41" xfId="0" applyNumberFormat="1" applyFont="1" applyBorder="1" applyAlignment="1">
      <alignment horizontal="center" vertical="center" wrapText="1"/>
    </xf>
    <xf numFmtId="3" fontId="25" fillId="0" borderId="37" xfId="0" applyNumberFormat="1" applyFont="1" applyBorder="1" applyAlignment="1">
      <alignment horizontal="center" vertical="center" wrapText="1"/>
    </xf>
    <xf numFmtId="168" fontId="0" fillId="0" borderId="0" xfId="0" applyNumberFormat="1"/>
    <xf numFmtId="0" fontId="12" fillId="0" borderId="45" xfId="0" applyFont="1" applyBorder="1" applyAlignment="1">
      <alignment vertical="center"/>
    </xf>
    <xf numFmtId="0" fontId="0" fillId="0" borderId="45" xfId="0" applyBorder="1" applyAlignment="1">
      <alignment vertical="center"/>
    </xf>
    <xf numFmtId="0" fontId="26" fillId="0" borderId="0" xfId="0" applyFont="1" applyAlignment="1">
      <alignment vertical="center"/>
    </xf>
    <xf numFmtId="0" fontId="27" fillId="0" borderId="0" xfId="0" applyFont="1" applyAlignment="1">
      <alignment vertical="center"/>
    </xf>
    <xf numFmtId="0" fontId="26" fillId="0" borderId="0" xfId="0" applyFont="1"/>
    <xf numFmtId="0" fontId="27" fillId="0" borderId="0" xfId="0" applyFont="1"/>
    <xf numFmtId="0" fontId="26" fillId="0" borderId="46" xfId="0" applyFont="1" applyBorder="1" applyAlignment="1">
      <alignment vertical="center"/>
    </xf>
    <xf numFmtId="0" fontId="26" fillId="0" borderId="47" xfId="0" applyFont="1" applyBorder="1" applyAlignment="1">
      <alignment vertical="center"/>
    </xf>
    <xf numFmtId="0" fontId="26" fillId="0" borderId="48" xfId="0" applyFont="1" applyBorder="1" applyAlignment="1">
      <alignment vertical="center"/>
    </xf>
    <xf numFmtId="0" fontId="26" fillId="0" borderId="18" xfId="0" applyFont="1" applyBorder="1"/>
    <xf numFmtId="0" fontId="26" fillId="0" borderId="23" xfId="0" applyFont="1" applyBorder="1"/>
    <xf numFmtId="0" fontId="26" fillId="0" borderId="16" xfId="0" applyFont="1" applyBorder="1"/>
    <xf numFmtId="0" fontId="26" fillId="0" borderId="49" xfId="0" applyFont="1" applyBorder="1"/>
    <xf numFmtId="0" fontId="27" fillId="13" borderId="8" xfId="0" applyFont="1" applyFill="1" applyBorder="1" applyAlignment="1">
      <alignment vertical="center"/>
    </xf>
    <xf numFmtId="0" fontId="27" fillId="13" borderId="50" xfId="0" applyFont="1" applyFill="1" applyBorder="1" applyAlignment="1">
      <alignment vertical="center"/>
    </xf>
    <xf numFmtId="0" fontId="27" fillId="13" borderId="6" xfId="0" applyFont="1" applyFill="1" applyBorder="1" applyAlignment="1">
      <alignment vertical="center"/>
    </xf>
    <xf numFmtId="0" fontId="27" fillId="13" borderId="44" xfId="0" applyFont="1" applyFill="1" applyBorder="1" applyAlignment="1">
      <alignment vertical="center"/>
    </xf>
    <xf numFmtId="0" fontId="27" fillId="14" borderId="51" xfId="0" applyFont="1" applyFill="1" applyBorder="1"/>
    <xf numFmtId="0" fontId="27" fillId="14" borderId="39" xfId="0" applyFont="1" applyFill="1" applyBorder="1"/>
    <xf numFmtId="0" fontId="27" fillId="14" borderId="38" xfId="0" applyFont="1" applyFill="1" applyBorder="1"/>
    <xf numFmtId="0" fontId="27" fillId="14" borderId="52" xfId="0" applyFont="1" applyFill="1" applyBorder="1"/>
    <xf numFmtId="0" fontId="27" fillId="13" borderId="5" xfId="0" applyFont="1" applyFill="1" applyBorder="1" applyAlignment="1">
      <alignment vertical="center"/>
    </xf>
    <xf numFmtId="0" fontId="27" fillId="14" borderId="28" xfId="0" applyFont="1" applyFill="1" applyBorder="1"/>
    <xf numFmtId="0" fontId="27" fillId="14" borderId="29" xfId="0" applyFont="1" applyFill="1" applyBorder="1"/>
    <xf numFmtId="0" fontId="27" fillId="14" borderId="33" xfId="0" applyFont="1" applyFill="1" applyBorder="1"/>
    <xf numFmtId="0" fontId="27" fillId="14" borderId="53" xfId="0" applyFont="1" applyFill="1" applyBorder="1"/>
    <xf numFmtId="0" fontId="27" fillId="0" borderId="54" xfId="0" applyFont="1" applyBorder="1" applyAlignment="1">
      <alignment vertical="center"/>
    </xf>
    <xf numFmtId="0" fontId="27" fillId="0" borderId="55" xfId="0" applyFont="1" applyBorder="1" applyAlignment="1">
      <alignment vertical="center"/>
    </xf>
    <xf numFmtId="0" fontId="27" fillId="0" borderId="52" xfId="0" applyFont="1" applyBorder="1" applyAlignment="1">
      <alignment vertical="center"/>
    </xf>
    <xf numFmtId="0" fontId="27" fillId="0" borderId="39" xfId="0" applyFont="1" applyBorder="1"/>
    <xf numFmtId="0" fontId="27" fillId="0" borderId="38" xfId="0" applyFont="1" applyBorder="1"/>
    <xf numFmtId="0" fontId="27" fillId="0" borderId="52" xfId="0" applyFont="1" applyBorder="1"/>
    <xf numFmtId="0" fontId="27" fillId="0" borderId="5" xfId="0" applyFont="1" applyBorder="1" applyAlignment="1">
      <alignment vertical="center"/>
    </xf>
    <xf numFmtId="0" fontId="27" fillId="0" borderId="6" xfId="0" applyFont="1" applyBorder="1" applyAlignment="1">
      <alignment vertical="center"/>
    </xf>
    <xf numFmtId="0" fontId="27" fillId="0" borderId="44" xfId="0" applyFont="1" applyBorder="1" applyAlignment="1">
      <alignment vertical="center"/>
    </xf>
    <xf numFmtId="0" fontId="27" fillId="0" borderId="22" xfId="0" applyFont="1" applyBorder="1"/>
    <xf numFmtId="0" fontId="27" fillId="0" borderId="44" xfId="0" applyFont="1" applyBorder="1"/>
    <xf numFmtId="0" fontId="27" fillId="0" borderId="56" xfId="0" applyFont="1" applyBorder="1" applyAlignment="1">
      <alignment vertical="center"/>
    </xf>
    <xf numFmtId="0" fontId="27" fillId="0" borderId="57" xfId="0" applyFont="1" applyBorder="1" applyAlignment="1">
      <alignment vertical="center"/>
    </xf>
    <xf numFmtId="0" fontId="27" fillId="0" borderId="53" xfId="0" applyFont="1" applyBorder="1" applyAlignment="1">
      <alignment vertical="center"/>
    </xf>
    <xf numFmtId="0" fontId="27" fillId="0" borderId="29" xfId="0" applyFont="1" applyBorder="1"/>
    <xf numFmtId="0" fontId="27" fillId="0" borderId="33" xfId="0" applyFont="1" applyBorder="1"/>
    <xf numFmtId="0" fontId="27" fillId="0" borderId="53" xfId="0" applyFont="1" applyBorder="1"/>
    <xf numFmtId="0" fontId="27" fillId="13" borderId="55" xfId="0" applyFont="1" applyFill="1" applyBorder="1" applyAlignment="1">
      <alignment vertical="center"/>
    </xf>
    <xf numFmtId="0" fontId="27" fillId="13" borderId="52" xfId="0" applyFont="1" applyFill="1" applyBorder="1" applyAlignment="1">
      <alignment vertical="center"/>
    </xf>
    <xf numFmtId="0" fontId="27" fillId="14" borderId="58" xfId="0" applyFont="1" applyFill="1" applyBorder="1" applyAlignment="1">
      <alignment vertical="center"/>
    </xf>
    <xf numFmtId="0" fontId="27" fillId="14" borderId="59" xfId="0" applyFont="1" applyFill="1" applyBorder="1" applyAlignment="1">
      <alignment wrapText="1"/>
    </xf>
    <xf numFmtId="0" fontId="27" fillId="14" borderId="27" xfId="0" applyFont="1" applyFill="1" applyBorder="1"/>
    <xf numFmtId="0" fontId="27" fillId="14" borderId="59" xfId="0" applyFont="1" applyFill="1" applyBorder="1"/>
    <xf numFmtId="0" fontId="27" fillId="14" borderId="41" xfId="0" applyFont="1" applyFill="1" applyBorder="1"/>
    <xf numFmtId="0" fontId="27" fillId="15" borderId="57" xfId="0" applyFont="1" applyFill="1" applyBorder="1" applyAlignment="1">
      <alignment vertical="center"/>
    </xf>
    <xf numFmtId="0" fontId="27" fillId="13" borderId="57" xfId="0" applyFont="1" applyFill="1" applyBorder="1" applyAlignment="1">
      <alignment vertical="center"/>
    </xf>
    <xf numFmtId="0" fontId="27" fillId="13" borderId="53" xfId="0" applyFont="1" applyFill="1" applyBorder="1" applyAlignment="1">
      <alignment vertical="center"/>
    </xf>
    <xf numFmtId="0" fontId="27" fillId="0" borderId="39" xfId="0" applyFont="1" applyBorder="1" applyAlignment="1">
      <alignment wrapText="1"/>
    </xf>
    <xf numFmtId="0" fontId="27" fillId="16" borderId="58" xfId="0" applyFont="1" applyFill="1" applyBorder="1"/>
    <xf numFmtId="0" fontId="27" fillId="16" borderId="59" xfId="0" applyFont="1" applyFill="1" applyBorder="1"/>
    <xf numFmtId="0" fontId="27" fillId="16" borderId="27" xfId="0" applyFont="1" applyFill="1" applyBorder="1"/>
    <xf numFmtId="0" fontId="27" fillId="16" borderId="41" xfId="0" applyFont="1" applyFill="1" applyBorder="1"/>
    <xf numFmtId="0" fontId="27" fillId="13" borderId="64" xfId="0" applyFont="1" applyFill="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wrapText="1"/>
    </xf>
    <xf numFmtId="0" fontId="27" fillId="0" borderId="65" xfId="0" applyFont="1" applyBorder="1"/>
    <xf numFmtId="0" fontId="27" fillId="0" borderId="59" xfId="0" applyFont="1" applyBorder="1"/>
    <xf numFmtId="0" fontId="27" fillId="0" borderId="66" xfId="0" applyFont="1" applyBorder="1"/>
    <xf numFmtId="0" fontId="27" fillId="16" borderId="21" xfId="0" applyFont="1" applyFill="1" applyBorder="1"/>
    <xf numFmtId="0" fontId="27" fillId="16" borderId="22" xfId="0" applyFont="1" applyFill="1" applyBorder="1"/>
    <xf numFmtId="0" fontId="27" fillId="16" borderId="0" xfId="0" applyFont="1" applyFill="1"/>
    <xf numFmtId="0" fontId="27" fillId="16" borderId="44" xfId="0" applyFont="1" applyFill="1" applyBorder="1"/>
    <xf numFmtId="0" fontId="27" fillId="13" borderId="9" xfId="0" applyFont="1" applyFill="1" applyBorder="1" applyAlignment="1">
      <alignment vertical="center"/>
    </xf>
    <xf numFmtId="0" fontId="27" fillId="13" borderId="10" xfId="0" applyFont="1" applyFill="1" applyBorder="1" applyAlignment="1">
      <alignment vertical="center"/>
    </xf>
    <xf numFmtId="0" fontId="27" fillId="13" borderId="43" xfId="0" applyFont="1" applyFill="1" applyBorder="1" applyAlignment="1">
      <alignment vertical="center"/>
    </xf>
    <xf numFmtId="0" fontId="27" fillId="16" borderId="20" xfId="0" applyFont="1" applyFill="1" applyBorder="1"/>
    <xf numFmtId="0" fontId="27" fillId="16" borderId="24" xfId="0" applyFont="1" applyFill="1" applyBorder="1"/>
    <xf numFmtId="0" fontId="27" fillId="16" borderId="36" xfId="0" applyFont="1" applyFill="1" applyBorder="1"/>
    <xf numFmtId="0" fontId="27" fillId="16" borderId="43" xfId="0" applyFont="1" applyFill="1" applyBorder="1"/>
    <xf numFmtId="0" fontId="8" fillId="0" borderId="0" xfId="0" applyFont="1"/>
    <xf numFmtId="0" fontId="8" fillId="0" borderId="67" xfId="0" applyFont="1" applyBorder="1"/>
    <xf numFmtId="0" fontId="8" fillId="0" borderId="68" xfId="0" applyFont="1" applyBorder="1"/>
    <xf numFmtId="0" fontId="8" fillId="0" borderId="49" xfId="0" applyFont="1" applyBorder="1"/>
    <xf numFmtId="0" fontId="0" fillId="17" borderId="54" xfId="0" applyFill="1" applyBorder="1"/>
    <xf numFmtId="0" fontId="0" fillId="17" borderId="55" xfId="0" applyFill="1" applyBorder="1"/>
    <xf numFmtId="0" fontId="0" fillId="17" borderId="52" xfId="0" applyFill="1" applyBorder="1"/>
    <xf numFmtId="0" fontId="0" fillId="17" borderId="56" xfId="0" applyFill="1" applyBorder="1"/>
    <xf numFmtId="0" fontId="0" fillId="17" borderId="57" xfId="0" applyFill="1" applyBorder="1"/>
    <xf numFmtId="0" fontId="0" fillId="17" borderId="53" xfId="0" applyFill="1" applyBorder="1"/>
    <xf numFmtId="0" fontId="0" fillId="0" borderId="44" xfId="0" applyBorder="1"/>
    <xf numFmtId="0" fontId="0" fillId="17" borderId="69" xfId="0" applyFill="1" applyBorder="1"/>
    <xf numFmtId="0" fontId="0" fillId="17" borderId="70" xfId="0" applyFill="1" applyBorder="1"/>
    <xf numFmtId="0" fontId="0" fillId="17" borderId="66" xfId="0" applyFill="1" applyBorder="1"/>
    <xf numFmtId="0" fontId="0" fillId="0" borderId="54" xfId="0" applyBorder="1"/>
    <xf numFmtId="0" fontId="0" fillId="0" borderId="55" xfId="0" applyBorder="1"/>
    <xf numFmtId="0" fontId="0" fillId="0" borderId="52" xfId="0" applyBorder="1"/>
    <xf numFmtId="0" fontId="0" fillId="15" borderId="55" xfId="0" applyFill="1" applyBorder="1"/>
    <xf numFmtId="0" fontId="0" fillId="15" borderId="52" xfId="0" applyFill="1" applyBorder="1"/>
    <xf numFmtId="0" fontId="0" fillId="17" borderId="5" xfId="0" applyFill="1" applyBorder="1"/>
    <xf numFmtId="0" fontId="0" fillId="17" borderId="6" xfId="0" applyFill="1" applyBorder="1"/>
    <xf numFmtId="0" fontId="0" fillId="17" borderId="44" xfId="0" applyFill="1" applyBorder="1"/>
    <xf numFmtId="0" fontId="0" fillId="0" borderId="71" xfId="0" applyBorder="1"/>
    <xf numFmtId="0" fontId="0" fillId="0" borderId="72" xfId="0" applyBorder="1"/>
    <xf numFmtId="0" fontId="0" fillId="0" borderId="73" xfId="0" applyBorder="1"/>
    <xf numFmtId="0" fontId="0" fillId="0" borderId="74" xfId="0" applyBorder="1"/>
    <xf numFmtId="0" fontId="28" fillId="0" borderId="0" xfId="0" applyFont="1"/>
    <xf numFmtId="0" fontId="8" fillId="0" borderId="46" xfId="0" applyFont="1" applyBorder="1"/>
    <xf numFmtId="0" fontId="8" fillId="0" borderId="47" xfId="0" applyFont="1" applyBorder="1"/>
    <xf numFmtId="0" fontId="8" fillId="0" borderId="48" xfId="0" applyFont="1" applyBorder="1"/>
    <xf numFmtId="0" fontId="0" fillId="13" borderId="75" xfId="0" applyFill="1" applyBorder="1"/>
    <xf numFmtId="0" fontId="0" fillId="13" borderId="76" xfId="0" applyFill="1" applyBorder="1"/>
    <xf numFmtId="0" fontId="0" fillId="13" borderId="6" xfId="0" applyFill="1" applyBorder="1"/>
    <xf numFmtId="0" fontId="0" fillId="13" borderId="44" xfId="0" applyFill="1" applyBorder="1"/>
    <xf numFmtId="0" fontId="0" fillId="13" borderId="5" xfId="0" applyFill="1" applyBorder="1"/>
    <xf numFmtId="0" fontId="0" fillId="15" borderId="57" xfId="0" applyFill="1" applyBorder="1"/>
    <xf numFmtId="0" fontId="0" fillId="0" borderId="56" xfId="0" applyBorder="1"/>
    <xf numFmtId="0" fontId="0" fillId="0" borderId="57" xfId="0" applyBorder="1"/>
    <xf numFmtId="0" fontId="0" fillId="0" borderId="53" xfId="0" applyBorder="1"/>
    <xf numFmtId="0" fontId="0" fillId="13" borderId="54" xfId="0" applyFill="1" applyBorder="1"/>
    <xf numFmtId="0" fontId="0" fillId="13" borderId="55" xfId="0" applyFill="1" applyBorder="1"/>
    <xf numFmtId="0" fontId="0" fillId="13" borderId="52" xfId="0" applyFill="1" applyBorder="1"/>
    <xf numFmtId="0" fontId="0" fillId="13" borderId="56" xfId="0" applyFill="1" applyBorder="1"/>
    <xf numFmtId="0" fontId="0" fillId="13" borderId="57" xfId="0" applyFill="1" applyBorder="1"/>
    <xf numFmtId="0" fontId="0" fillId="13" borderId="53" xfId="0" applyFill="1" applyBorder="1"/>
    <xf numFmtId="0" fontId="0" fillId="13" borderId="77" xfId="0" applyFill="1" applyBorder="1"/>
    <xf numFmtId="0" fontId="0" fillId="13" borderId="9" xfId="0" applyFill="1" applyBorder="1"/>
    <xf numFmtId="0" fontId="0" fillId="13" borderId="10" xfId="0" applyFill="1" applyBorder="1"/>
    <xf numFmtId="0" fontId="0" fillId="13" borderId="43" xfId="0" applyFill="1" applyBorder="1"/>
    <xf numFmtId="0" fontId="8" fillId="0" borderId="18" xfId="0" applyFont="1" applyBorder="1"/>
    <xf numFmtId="0" fontId="8" fillId="0" borderId="16" xfId="0" applyFont="1" applyBorder="1"/>
    <xf numFmtId="0" fontId="0" fillId="14" borderId="51" xfId="0" applyFill="1" applyBorder="1"/>
    <xf numFmtId="0" fontId="0" fillId="14" borderId="78" xfId="0" applyFill="1" applyBorder="1"/>
    <xf numFmtId="0" fontId="0" fillId="14" borderId="52" xfId="0" applyFill="1" applyBorder="1"/>
    <xf numFmtId="0" fontId="0" fillId="14" borderId="28" xfId="0" applyFill="1" applyBorder="1"/>
    <xf numFmtId="0" fontId="0" fillId="14" borderId="79" xfId="0" applyFill="1" applyBorder="1"/>
    <xf numFmtId="0" fontId="0" fillId="14" borderId="53" xfId="0" applyFill="1" applyBorder="1"/>
    <xf numFmtId="0" fontId="0" fillId="0" borderId="51" xfId="0" applyBorder="1"/>
    <xf numFmtId="0" fontId="0" fillId="0" borderId="78" xfId="0" applyBorder="1"/>
    <xf numFmtId="0" fontId="0" fillId="0" borderId="21" xfId="0" applyBorder="1"/>
    <xf numFmtId="0" fontId="0" fillId="0" borderId="28" xfId="0" applyBorder="1"/>
    <xf numFmtId="0" fontId="0" fillId="0" borderId="79" xfId="0" applyBorder="1"/>
    <xf numFmtId="0" fontId="0" fillId="14" borderId="58" xfId="0" applyFill="1" applyBorder="1"/>
    <xf numFmtId="0" fontId="0" fillId="14" borderId="65" xfId="0" applyFill="1" applyBorder="1"/>
    <xf numFmtId="0" fontId="0" fillId="14" borderId="66" xfId="0" applyFill="1" applyBorder="1"/>
    <xf numFmtId="0" fontId="0" fillId="16" borderId="80" xfId="0" applyFill="1" applyBorder="1"/>
    <xf numFmtId="0" fontId="0" fillId="16" borderId="73" xfId="0" applyFill="1" applyBorder="1"/>
    <xf numFmtId="0" fontId="0" fillId="16" borderId="74" xfId="0" applyFill="1" applyBorder="1"/>
    <xf numFmtId="0" fontId="0" fillId="0" borderId="75" xfId="0" applyBorder="1"/>
    <xf numFmtId="0" fontId="0" fillId="0" borderId="76" xfId="0" applyBorder="1"/>
    <xf numFmtId="0" fontId="0" fillId="0" borderId="81" xfId="0" applyBorder="1"/>
    <xf numFmtId="0" fontId="0" fillId="0" borderId="82" xfId="0" applyBorder="1"/>
    <xf numFmtId="0" fontId="0" fillId="0" borderId="83" xfId="0" applyBorder="1"/>
    <xf numFmtId="0" fontId="0" fillId="0" borderId="84" xfId="0" applyBorder="1"/>
    <xf numFmtId="0" fontId="29" fillId="0" borderId="0" xfId="0" applyFont="1"/>
    <xf numFmtId="0" fontId="12" fillId="0" borderId="67" xfId="0" applyFont="1" applyBorder="1"/>
    <xf numFmtId="0" fontId="12" fillId="0" borderId="68" xfId="0" applyFont="1" applyBorder="1"/>
    <xf numFmtId="0" fontId="12" fillId="0" borderId="49" xfId="0" applyFont="1" applyBorder="1"/>
    <xf numFmtId="0" fontId="0" fillId="15" borderId="54" xfId="0" applyFill="1" applyBorder="1"/>
    <xf numFmtId="0" fontId="0" fillId="15" borderId="56" xfId="0" applyFill="1" applyBorder="1"/>
    <xf numFmtId="0" fontId="0" fillId="15" borderId="85" xfId="0" applyFill="1" applyBorder="1"/>
    <xf numFmtId="0" fontId="0" fillId="15" borderId="86" xfId="0" applyFill="1" applyBorder="1"/>
    <xf numFmtId="0" fontId="0" fillId="0" borderId="85" xfId="0" applyBorder="1"/>
    <xf numFmtId="0" fontId="0" fillId="0" borderId="86" xfId="0" applyBorder="1"/>
    <xf numFmtId="0" fontId="0" fillId="15" borderId="69" xfId="0" applyFill="1" applyBorder="1"/>
    <xf numFmtId="0" fontId="0" fillId="15" borderId="70" xfId="0" applyFill="1" applyBorder="1"/>
    <xf numFmtId="0" fontId="0" fillId="15" borderId="66" xfId="0" applyFill="1" applyBorder="1"/>
    <xf numFmtId="0" fontId="0" fillId="15" borderId="5" xfId="0" applyFill="1" applyBorder="1"/>
    <xf numFmtId="0" fontId="0" fillId="15" borderId="6" xfId="0" applyFill="1" applyBorder="1"/>
    <xf numFmtId="0" fontId="0" fillId="0" borderId="43" xfId="0" applyBorder="1"/>
    <xf numFmtId="0" fontId="12" fillId="0" borderId="18" xfId="0" applyFont="1" applyBorder="1"/>
    <xf numFmtId="0" fontId="12" fillId="0" borderId="16" xfId="0" applyFont="1" applyBorder="1"/>
    <xf numFmtId="0" fontId="0" fillId="18" borderId="58" xfId="0" applyFill="1" applyBorder="1"/>
    <xf numFmtId="0" fontId="0" fillId="18" borderId="65" xfId="0" applyFill="1" applyBorder="1"/>
    <xf numFmtId="0" fontId="0" fillId="18" borderId="66" xfId="0" applyFill="1" applyBorder="1"/>
    <xf numFmtId="0" fontId="0" fillId="15" borderId="80" xfId="0" applyFill="1" applyBorder="1"/>
    <xf numFmtId="0" fontId="0" fillId="15" borderId="73" xfId="0" applyFill="1" applyBorder="1"/>
    <xf numFmtId="0" fontId="0" fillId="15" borderId="74" xfId="0" applyFill="1" applyBorder="1"/>
    <xf numFmtId="165" fontId="0" fillId="0" borderId="0" xfId="0" applyNumberFormat="1" applyAlignment="1">
      <alignment horizontal="center"/>
    </xf>
    <xf numFmtId="0" fontId="16" fillId="0" borderId="0" xfId="0" applyFont="1" applyAlignment="1">
      <alignment horizontal="center"/>
    </xf>
    <xf numFmtId="16" fontId="0" fillId="0" borderId="0" xfId="0" applyNumberFormat="1" applyAlignment="1">
      <alignment horizontal="center"/>
    </xf>
    <xf numFmtId="10" fontId="0" fillId="0" borderId="0" xfId="0" applyNumberFormat="1" applyAlignment="1">
      <alignment horizontal="center"/>
    </xf>
    <xf numFmtId="3" fontId="0" fillId="0" borderId="0" xfId="0" applyNumberFormat="1" applyAlignment="1">
      <alignment horizontal="center"/>
    </xf>
    <xf numFmtId="164" fontId="0" fillId="0" borderId="0" xfId="2" applyFont="1" applyFill="1" applyAlignment="1">
      <alignment horizontal="center"/>
    </xf>
    <xf numFmtId="2" fontId="0" fillId="0" borderId="0" xfId="0" applyNumberFormat="1" applyAlignment="1">
      <alignment horizontal="center"/>
    </xf>
    <xf numFmtId="169" fontId="0" fillId="0" borderId="0" xfId="0" applyNumberFormat="1" applyAlignment="1">
      <alignment horizontal="center"/>
    </xf>
    <xf numFmtId="4" fontId="2" fillId="3" borderId="1" xfId="0" applyNumberFormat="1" applyFont="1" applyFill="1" applyBorder="1" applyAlignment="1">
      <alignment horizontal="left" vertical="center" wrapText="1"/>
    </xf>
    <xf numFmtId="168" fontId="0" fillId="0" borderId="0" xfId="0" applyNumberFormat="1" applyAlignment="1">
      <alignment horizontal="center"/>
    </xf>
    <xf numFmtId="167" fontId="0" fillId="0" borderId="0" xfId="0" applyNumberFormat="1" applyAlignment="1">
      <alignment horizontal="center"/>
    </xf>
    <xf numFmtId="0" fontId="4" fillId="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5" borderId="87" xfId="0" applyFont="1" applyFill="1" applyBorder="1" applyAlignment="1">
      <alignment horizontal="center" vertical="center" wrapText="1"/>
    </xf>
    <xf numFmtId="0" fontId="4" fillId="5" borderId="88" xfId="0" applyFont="1" applyFill="1" applyBorder="1" applyAlignment="1">
      <alignment horizontal="center" vertical="center" wrapText="1"/>
    </xf>
    <xf numFmtId="0" fontId="4" fillId="5" borderId="89" xfId="0" applyFont="1" applyFill="1" applyBorder="1" applyAlignment="1">
      <alignment horizontal="center" vertical="center" wrapText="1"/>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14" xfId="0" applyFont="1" applyFill="1" applyBorder="1" applyAlignment="1">
      <alignment horizontal="center" vertical="center"/>
    </xf>
    <xf numFmtId="0" fontId="0" fillId="8" borderId="12" xfId="0" applyFill="1" applyBorder="1" applyAlignment="1">
      <alignment horizontal="center" vertical="center"/>
    </xf>
    <xf numFmtId="0" fontId="0" fillId="8" borderId="13" xfId="0" applyFill="1" applyBorder="1" applyAlignment="1">
      <alignment horizontal="center" vertical="center"/>
    </xf>
    <xf numFmtId="0" fontId="0" fillId="8" borderId="14" xfId="0" applyFill="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3" fontId="22" fillId="0" borderId="23" xfId="0" applyNumberFormat="1" applyFont="1" applyBorder="1" applyAlignment="1">
      <alignment horizontal="center" vertical="center" wrapText="1"/>
    </xf>
    <xf numFmtId="3" fontId="22" fillId="0" borderId="24" xfId="0" applyNumberFormat="1" applyFont="1" applyBorder="1" applyAlignment="1">
      <alignment horizontal="center" vertical="center" wrapText="1"/>
    </xf>
    <xf numFmtId="3" fontId="25" fillId="0" borderId="23" xfId="0" applyNumberFormat="1" applyFont="1" applyBorder="1" applyAlignment="1">
      <alignment horizontal="center" vertical="center" wrapText="1"/>
    </xf>
    <xf numFmtId="3" fontId="25" fillId="0" borderId="24" xfId="0" applyNumberFormat="1" applyFont="1" applyBorder="1" applyAlignment="1">
      <alignment horizontal="center" vertical="center" wrapText="1"/>
    </xf>
    <xf numFmtId="3" fontId="24" fillId="0" borderId="23" xfId="0" applyNumberFormat="1" applyFont="1" applyBorder="1" applyAlignment="1">
      <alignment horizontal="center" vertical="center" wrapText="1"/>
    </xf>
    <xf numFmtId="3" fontId="24" fillId="0" borderId="24" xfId="0" applyNumberFormat="1" applyFont="1" applyBorder="1" applyAlignment="1">
      <alignment horizontal="center" vertical="center" wrapText="1"/>
    </xf>
    <xf numFmtId="3" fontId="22" fillId="0" borderId="22" xfId="0" applyNumberFormat="1" applyFont="1" applyBorder="1" applyAlignment="1">
      <alignment horizontal="center" vertical="center" wrapText="1"/>
    </xf>
    <xf numFmtId="0" fontId="22" fillId="0" borderId="23" xfId="0" applyFont="1" applyBorder="1" applyAlignment="1">
      <alignment horizontal="center" vertical="center" wrapText="1"/>
    </xf>
    <xf numFmtId="0" fontId="22" fillId="0" borderId="24" xfId="0" applyFont="1" applyBorder="1" applyAlignment="1">
      <alignment horizontal="center" vertical="center" wrapText="1"/>
    </xf>
    <xf numFmtId="0" fontId="12" fillId="0" borderId="42" xfId="0" applyFont="1" applyBorder="1" applyAlignment="1">
      <alignment horizontal="left"/>
    </xf>
    <xf numFmtId="0" fontId="12" fillId="0" borderId="42" xfId="0" applyFont="1" applyBorder="1" applyAlignment="1">
      <alignment horizontal="center" vertical="center" wrapText="1"/>
    </xf>
    <xf numFmtId="0" fontId="12" fillId="0" borderId="42" xfId="0" applyFont="1" applyBorder="1" applyAlignment="1">
      <alignment horizontal="center" vertical="center"/>
    </xf>
    <xf numFmtId="0" fontId="12" fillId="0" borderId="42" xfId="0" applyFont="1" applyBorder="1" applyAlignment="1">
      <alignment horizontal="center"/>
    </xf>
    <xf numFmtId="0" fontId="27" fillId="13" borderId="50" xfId="0" applyFont="1" applyFill="1" applyBorder="1" applyAlignment="1">
      <alignment horizontal="center" vertical="center" wrapText="1"/>
    </xf>
    <xf numFmtId="0" fontId="27" fillId="13" borderId="6" xfId="0" applyFont="1" applyFill="1" applyBorder="1" applyAlignment="1">
      <alignment horizontal="center" vertical="center" wrapText="1"/>
    </xf>
    <xf numFmtId="0" fontId="27" fillId="13" borderId="10" xfId="0" applyFont="1" applyFill="1" applyBorder="1" applyAlignment="1">
      <alignment horizontal="center" vertical="center" wrapText="1"/>
    </xf>
    <xf numFmtId="0" fontId="0" fillId="0" borderId="45" xfId="0" applyBorder="1" applyAlignment="1">
      <alignment horizontal="center" vertical="center"/>
    </xf>
    <xf numFmtId="0" fontId="27" fillId="0" borderId="39"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29" xfId="0" applyFont="1" applyBorder="1" applyAlignment="1">
      <alignment horizontal="center" vertical="center" wrapText="1"/>
    </xf>
    <xf numFmtId="0" fontId="27" fillId="13" borderId="54" xfId="0" applyFont="1" applyFill="1" applyBorder="1" applyAlignment="1">
      <alignment horizontal="center" vertical="center" wrapText="1"/>
    </xf>
    <xf numFmtId="0" fontId="27" fillId="13" borderId="56" xfId="0" applyFont="1" applyFill="1" applyBorder="1" applyAlignment="1">
      <alignment horizontal="center" vertical="center" wrapText="1"/>
    </xf>
    <xf numFmtId="0" fontId="27" fillId="0" borderId="54"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55" xfId="0" applyFont="1" applyBorder="1" applyAlignment="1">
      <alignment horizontal="center" vertical="center" wrapText="1"/>
    </xf>
    <xf numFmtId="0" fontId="27" fillId="0" borderId="62" xfId="0" applyFont="1" applyBorder="1" applyAlignment="1">
      <alignment horizontal="center" vertical="center" wrapText="1"/>
    </xf>
    <xf numFmtId="0" fontId="27" fillId="0" borderId="55" xfId="0" applyFont="1" applyBorder="1" applyAlignment="1">
      <alignment horizontal="center" vertical="center"/>
    </xf>
    <xf numFmtId="0" fontId="27" fillId="0" borderId="62" xfId="0" applyFont="1" applyBorder="1" applyAlignment="1">
      <alignment horizontal="center" vertical="center"/>
    </xf>
    <xf numFmtId="0" fontId="27" fillId="0" borderId="60" xfId="0" applyFont="1" applyBorder="1" applyAlignment="1">
      <alignment horizontal="center" vertical="center" wrapText="1"/>
    </xf>
    <xf numFmtId="0" fontId="27" fillId="0" borderId="63" xfId="0" applyFont="1" applyBorder="1" applyAlignment="1">
      <alignment horizontal="center" vertical="center" wrapText="1"/>
    </xf>
    <xf numFmtId="0" fontId="18" fillId="0" borderId="0" xfId="0" applyFont="1" applyAlignment="1">
      <alignment horizontal="center" vertical="center"/>
    </xf>
    <xf numFmtId="0" fontId="12" fillId="0" borderId="45" xfId="0" applyFont="1" applyBorder="1" applyAlignment="1">
      <alignment horizontal="center" vertic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baseline="0">
                <a:effectLst/>
              </a:rPr>
              <a:t>16 weeks gilt variation chart</a:t>
            </a:r>
            <a:endParaRPr lang="en-US" sz="1400">
              <a:effectLst/>
            </a:endParaRPr>
          </a:p>
        </c:rich>
      </c:tx>
      <c:overlay val="0"/>
      <c:spPr>
        <a:noFill/>
        <a:ln>
          <a:noFill/>
        </a:ln>
        <a:effectLst/>
      </c:spPr>
    </c:title>
    <c:autoTitleDeleted val="0"/>
    <c:plotArea>
      <c:layout/>
      <c:barChart>
        <c:barDir val="col"/>
        <c:grouping val="stacked"/>
        <c:varyColors val="0"/>
        <c:ser>
          <c:idx val="0"/>
          <c:order val="0"/>
          <c:tx>
            <c:strRef>
              <c:f>'[2]Weekly report'!$A$59</c:f>
              <c:strCache>
                <c:ptCount val="1"/>
                <c:pt idx="0">
                  <c:v># Of Animals Under</c:v>
                </c:pt>
              </c:strCache>
            </c:strRef>
          </c:tx>
          <c:spPr>
            <a:solidFill>
              <a:srgbClr val="FF0000"/>
            </a:solidFill>
            <a:ln>
              <a:solidFill>
                <a:srgbClr val="FF0000"/>
              </a:solidFill>
            </a:ln>
          </c:spPr>
          <c:invertIfNegative val="0"/>
          <c:cat>
            <c:numRef>
              <c:f>'[2]Weekly report'!$Y$3:$BO$3</c:f>
              <c:numCache>
                <c:formatCode>General</c:formatCod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numCache>
            </c:numRef>
          </c:cat>
          <c:val>
            <c:numRef>
              <c:f>'[2]Weekly report'!$Y$59:$BO$59</c:f>
              <c:numCache>
                <c:formatCode>General</c:formatCode>
                <c:ptCount val="43"/>
                <c:pt idx="0">
                  <c:v>2</c:v>
                </c:pt>
                <c:pt idx="1">
                  <c:v>8</c:v>
                </c:pt>
                <c:pt idx="2">
                  <c:v>2</c:v>
                </c:pt>
                <c:pt idx="3">
                  <c:v>4</c:v>
                </c:pt>
                <c:pt idx="4">
                  <c:v>6</c:v>
                </c:pt>
                <c:pt idx="5">
                  <c:v>6</c:v>
                </c:pt>
                <c:pt idx="6">
                  <c:v>12</c:v>
                </c:pt>
                <c:pt idx="7">
                  <c:v>13</c:v>
                </c:pt>
                <c:pt idx="8">
                  <c:v>8</c:v>
                </c:pt>
                <c:pt idx="9">
                  <c:v>11</c:v>
                </c:pt>
                <c:pt idx="10">
                  <c:v>2</c:v>
                </c:pt>
                <c:pt idx="11">
                  <c:v>2</c:v>
                </c:pt>
                <c:pt idx="12">
                  <c:v>9</c:v>
                </c:pt>
                <c:pt idx="13">
                  <c:v>9</c:v>
                </c:pt>
                <c:pt idx="14">
                  <c:v>5</c:v>
                </c:pt>
                <c:pt idx="15">
                  <c:v>1</c:v>
                </c:pt>
                <c:pt idx="16">
                  <c:v>2</c:v>
                </c:pt>
                <c:pt idx="17">
                  <c:v>3</c:v>
                </c:pt>
                <c:pt idx="18">
                  <c:v>6</c:v>
                </c:pt>
                <c:pt idx="19">
                  <c:v>5</c:v>
                </c:pt>
                <c:pt idx="20">
                  <c:v>8</c:v>
                </c:pt>
                <c:pt idx="21">
                  <c:v>2</c:v>
                </c:pt>
                <c:pt idx="22">
                  <c:v>4</c:v>
                </c:pt>
                <c:pt idx="23">
                  <c:v>2</c:v>
                </c:pt>
                <c:pt idx="25">
                  <c:v>2</c:v>
                </c:pt>
                <c:pt idx="26">
                  <c:v>1</c:v>
                </c:pt>
                <c:pt idx="27">
                  <c:v>2</c:v>
                </c:pt>
                <c:pt idx="28">
                  <c:v>4</c:v>
                </c:pt>
                <c:pt idx="29">
                  <c:v>9</c:v>
                </c:pt>
                <c:pt idx="30">
                  <c:v>6</c:v>
                </c:pt>
                <c:pt idx="31">
                  <c:v>3</c:v>
                </c:pt>
                <c:pt idx="32">
                  <c:v>2</c:v>
                </c:pt>
                <c:pt idx="33">
                  <c:v>2</c:v>
                </c:pt>
                <c:pt idx="34">
                  <c:v>7</c:v>
                </c:pt>
                <c:pt idx="37">
                  <c:v>7</c:v>
                </c:pt>
              </c:numCache>
            </c:numRef>
          </c:val>
          <c:extLst>
            <c:ext xmlns:c16="http://schemas.microsoft.com/office/drawing/2014/chart" uri="{C3380CC4-5D6E-409C-BE32-E72D297353CC}">
              <c16:uniqueId val="{00000000-1D58-4D74-B354-FB4146C30151}"/>
            </c:ext>
          </c:extLst>
        </c:ser>
        <c:ser>
          <c:idx val="1"/>
          <c:order val="1"/>
          <c:tx>
            <c:strRef>
              <c:f>'[2]Weekly report'!$A$61</c:f>
              <c:strCache>
                <c:ptCount val="1"/>
                <c:pt idx="0">
                  <c:v># Of Animals In</c:v>
                </c:pt>
              </c:strCache>
            </c:strRef>
          </c:tx>
          <c:spPr>
            <a:solidFill>
              <a:srgbClr val="00B050"/>
            </a:solidFill>
            <a:ln>
              <a:solidFill>
                <a:srgbClr val="00B050"/>
              </a:solidFill>
            </a:ln>
          </c:spPr>
          <c:invertIfNegative val="0"/>
          <c:cat>
            <c:numRef>
              <c:f>'[2]Weekly report'!$Y$3:$BO$3</c:f>
              <c:numCache>
                <c:formatCode>General</c:formatCod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numCache>
            </c:numRef>
          </c:cat>
          <c:val>
            <c:numRef>
              <c:f>'[2]Weekly report'!$Y$61:$BO$61</c:f>
              <c:numCache>
                <c:formatCode>General</c:formatCode>
                <c:ptCount val="43"/>
                <c:pt idx="0">
                  <c:v>2</c:v>
                </c:pt>
                <c:pt idx="2">
                  <c:v>1</c:v>
                </c:pt>
                <c:pt idx="3">
                  <c:v>1</c:v>
                </c:pt>
                <c:pt idx="4">
                  <c:v>4</c:v>
                </c:pt>
                <c:pt idx="5">
                  <c:v>4</c:v>
                </c:pt>
                <c:pt idx="8">
                  <c:v>2</c:v>
                </c:pt>
                <c:pt idx="10">
                  <c:v>3</c:v>
                </c:pt>
                <c:pt idx="11">
                  <c:v>5</c:v>
                </c:pt>
                <c:pt idx="12">
                  <c:v>1</c:v>
                </c:pt>
                <c:pt idx="13">
                  <c:v>1</c:v>
                </c:pt>
                <c:pt idx="14">
                  <c:v>1</c:v>
                </c:pt>
                <c:pt idx="15">
                  <c:v>5</c:v>
                </c:pt>
                <c:pt idx="16">
                  <c:v>7</c:v>
                </c:pt>
                <c:pt idx="17">
                  <c:v>7</c:v>
                </c:pt>
                <c:pt idx="18">
                  <c:v>6</c:v>
                </c:pt>
                <c:pt idx="19">
                  <c:v>6</c:v>
                </c:pt>
                <c:pt idx="20">
                  <c:v>3</c:v>
                </c:pt>
                <c:pt idx="21">
                  <c:v>7</c:v>
                </c:pt>
                <c:pt idx="22">
                  <c:v>8</c:v>
                </c:pt>
                <c:pt idx="23">
                  <c:v>8</c:v>
                </c:pt>
                <c:pt idx="24">
                  <c:v>7</c:v>
                </c:pt>
                <c:pt idx="25">
                  <c:v>2</c:v>
                </c:pt>
                <c:pt idx="26">
                  <c:v>5</c:v>
                </c:pt>
                <c:pt idx="27">
                  <c:v>7</c:v>
                </c:pt>
                <c:pt idx="28">
                  <c:v>5</c:v>
                </c:pt>
                <c:pt idx="29">
                  <c:v>1</c:v>
                </c:pt>
                <c:pt idx="30">
                  <c:v>5</c:v>
                </c:pt>
                <c:pt idx="31">
                  <c:v>7</c:v>
                </c:pt>
                <c:pt idx="32">
                  <c:v>7</c:v>
                </c:pt>
                <c:pt idx="33">
                  <c:v>4</c:v>
                </c:pt>
                <c:pt idx="34">
                  <c:v>7</c:v>
                </c:pt>
                <c:pt idx="35">
                  <c:v>4</c:v>
                </c:pt>
                <c:pt idx="36">
                  <c:v>4</c:v>
                </c:pt>
                <c:pt idx="37">
                  <c:v>5</c:v>
                </c:pt>
              </c:numCache>
            </c:numRef>
          </c:val>
          <c:extLst>
            <c:ext xmlns:c16="http://schemas.microsoft.com/office/drawing/2014/chart" uri="{C3380CC4-5D6E-409C-BE32-E72D297353CC}">
              <c16:uniqueId val="{00000001-1D58-4D74-B354-FB4146C30151}"/>
            </c:ext>
          </c:extLst>
        </c:ser>
        <c:ser>
          <c:idx val="2"/>
          <c:order val="2"/>
          <c:tx>
            <c:strRef>
              <c:f>'[2]Weekly report'!$A$63</c:f>
              <c:strCache>
                <c:ptCount val="1"/>
                <c:pt idx="0">
                  <c:v># Of Animals Over</c:v>
                </c:pt>
              </c:strCache>
            </c:strRef>
          </c:tx>
          <c:spPr>
            <a:solidFill>
              <a:srgbClr val="0070C0"/>
            </a:solidFill>
            <a:ln>
              <a:solidFill>
                <a:srgbClr val="0070C0"/>
              </a:solidFill>
            </a:ln>
          </c:spPr>
          <c:invertIfNegative val="0"/>
          <c:cat>
            <c:numRef>
              <c:f>'[2]Weekly report'!$Y$3:$BO$3</c:f>
              <c:numCache>
                <c:formatCode>General</c:formatCod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numCache>
            </c:numRef>
          </c:cat>
          <c:val>
            <c:numRef>
              <c:f>'[2]Weekly report'!$Y$63:$BO$63</c:f>
              <c:numCache>
                <c:formatCode>General</c:formatCode>
                <c:ptCount val="43"/>
                <c:pt idx="0">
                  <c:v>6</c:v>
                </c:pt>
                <c:pt idx="1">
                  <c:v>4</c:v>
                </c:pt>
                <c:pt idx="2">
                  <c:v>9</c:v>
                </c:pt>
                <c:pt idx="3">
                  <c:v>7</c:v>
                </c:pt>
                <c:pt idx="8">
                  <c:v>1</c:v>
                </c:pt>
                <c:pt idx="10">
                  <c:v>5</c:v>
                </c:pt>
                <c:pt idx="11">
                  <c:v>3</c:v>
                </c:pt>
                <c:pt idx="12">
                  <c:v>2</c:v>
                </c:pt>
                <c:pt idx="13">
                  <c:v>2</c:v>
                </c:pt>
                <c:pt idx="14">
                  <c:v>6</c:v>
                </c:pt>
                <c:pt idx="15">
                  <c:v>3</c:v>
                </c:pt>
                <c:pt idx="16">
                  <c:v>2</c:v>
                </c:pt>
                <c:pt idx="17">
                  <c:v>1</c:v>
                </c:pt>
                <c:pt idx="20">
                  <c:v>1</c:v>
                </c:pt>
                <c:pt idx="21">
                  <c:v>1</c:v>
                </c:pt>
                <c:pt idx="23">
                  <c:v>2</c:v>
                </c:pt>
                <c:pt idx="24">
                  <c:v>5</c:v>
                </c:pt>
                <c:pt idx="25">
                  <c:v>8</c:v>
                </c:pt>
                <c:pt idx="26">
                  <c:v>3</c:v>
                </c:pt>
                <c:pt idx="27">
                  <c:v>2</c:v>
                </c:pt>
                <c:pt idx="28">
                  <c:v>1</c:v>
                </c:pt>
                <c:pt idx="30">
                  <c:v>1</c:v>
                </c:pt>
                <c:pt idx="32">
                  <c:v>1</c:v>
                </c:pt>
                <c:pt idx="33">
                  <c:v>2</c:v>
                </c:pt>
                <c:pt idx="34">
                  <c:v>1</c:v>
                </c:pt>
                <c:pt idx="35">
                  <c:v>8</c:v>
                </c:pt>
                <c:pt idx="36">
                  <c:v>6</c:v>
                </c:pt>
              </c:numCache>
            </c:numRef>
          </c:val>
          <c:extLst>
            <c:ext xmlns:c16="http://schemas.microsoft.com/office/drawing/2014/chart" uri="{C3380CC4-5D6E-409C-BE32-E72D297353CC}">
              <c16:uniqueId val="{00000002-1D58-4D74-B354-FB4146C30151}"/>
            </c:ext>
          </c:extLst>
        </c:ser>
        <c:dLbls>
          <c:showLegendKey val="0"/>
          <c:showVal val="0"/>
          <c:showCatName val="0"/>
          <c:showSerName val="0"/>
          <c:showPercent val="0"/>
          <c:showBubbleSize val="0"/>
        </c:dLbls>
        <c:gapWidth val="150"/>
        <c:overlap val="100"/>
        <c:axId val="446319552"/>
        <c:axId val="446320336"/>
      </c:barChart>
      <c:catAx>
        <c:axId val="446319552"/>
        <c:scaling>
          <c:orientation val="minMax"/>
        </c:scaling>
        <c:delete val="0"/>
        <c:axPos val="b"/>
        <c:title>
          <c:tx>
            <c:rich>
              <a:bodyPr/>
              <a:lstStyle/>
              <a:p>
                <a:pPr>
                  <a:defRPr/>
                </a:pPr>
                <a:r>
                  <a:rPr lang="en-US"/>
                  <a:t>WEEKS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46320336"/>
        <c:crosses val="autoZero"/>
        <c:auto val="1"/>
        <c:lblAlgn val="ctr"/>
        <c:lblOffset val="100"/>
        <c:noMultiLvlLbl val="0"/>
      </c:catAx>
      <c:valAx>
        <c:axId val="446320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COUNT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631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baseline="0">
                <a:effectLst/>
              </a:rPr>
              <a:t>27 week gilt variation chart</a:t>
            </a:r>
            <a:endParaRPr lang="en-US" sz="1400">
              <a:effectLst/>
            </a:endParaRPr>
          </a:p>
        </c:rich>
      </c:tx>
      <c:overlay val="0"/>
      <c:spPr>
        <a:noFill/>
        <a:ln>
          <a:noFill/>
        </a:ln>
        <a:effectLst/>
      </c:spPr>
    </c:title>
    <c:autoTitleDeleted val="0"/>
    <c:plotArea>
      <c:layout/>
      <c:barChart>
        <c:barDir val="col"/>
        <c:grouping val="stacked"/>
        <c:varyColors val="0"/>
        <c:ser>
          <c:idx val="0"/>
          <c:order val="0"/>
          <c:tx>
            <c:strRef>
              <c:f>'[2]Weekly report'!$A$99</c:f>
              <c:strCache>
                <c:ptCount val="1"/>
                <c:pt idx="0">
                  <c:v># Of Animals Under</c:v>
                </c:pt>
              </c:strCache>
            </c:strRef>
          </c:tx>
          <c:spPr>
            <a:solidFill>
              <a:srgbClr val="FF0000"/>
            </a:solidFill>
            <a:ln>
              <a:solidFill>
                <a:srgbClr val="FF0000"/>
              </a:solidFill>
            </a:ln>
          </c:spPr>
          <c:invertIfNegative val="0"/>
          <c:cat>
            <c:numRef>
              <c:f>'[2]Weekly report'!$Y$5:$BO$5</c:f>
              <c:numCache>
                <c:formatCode>General</c:formatCod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numCache>
            </c:numRef>
          </c:cat>
          <c:val>
            <c:numRef>
              <c:f>'[2]Weekly report'!$Y$99:$BO$99</c:f>
              <c:numCache>
                <c:formatCode>General</c:formatCode>
                <c:ptCount val="43"/>
                <c:pt idx="0">
                  <c:v>3</c:v>
                </c:pt>
                <c:pt idx="1">
                  <c:v>3</c:v>
                </c:pt>
                <c:pt idx="8">
                  <c:v>4</c:v>
                </c:pt>
                <c:pt idx="12">
                  <c:v>2</c:v>
                </c:pt>
                <c:pt idx="15">
                  <c:v>1</c:v>
                </c:pt>
                <c:pt idx="18">
                  <c:v>2</c:v>
                </c:pt>
                <c:pt idx="20">
                  <c:v>3</c:v>
                </c:pt>
                <c:pt idx="21">
                  <c:v>1</c:v>
                </c:pt>
                <c:pt idx="22">
                  <c:v>1</c:v>
                </c:pt>
                <c:pt idx="24">
                  <c:v>3</c:v>
                </c:pt>
                <c:pt idx="25">
                  <c:v>1</c:v>
                </c:pt>
                <c:pt idx="29">
                  <c:v>2</c:v>
                </c:pt>
                <c:pt idx="30">
                  <c:v>2</c:v>
                </c:pt>
                <c:pt idx="31">
                  <c:v>4</c:v>
                </c:pt>
                <c:pt idx="33">
                  <c:v>1</c:v>
                </c:pt>
                <c:pt idx="35">
                  <c:v>2</c:v>
                </c:pt>
                <c:pt idx="37">
                  <c:v>1</c:v>
                </c:pt>
              </c:numCache>
            </c:numRef>
          </c:val>
          <c:extLst>
            <c:ext xmlns:c16="http://schemas.microsoft.com/office/drawing/2014/chart" uri="{C3380CC4-5D6E-409C-BE32-E72D297353CC}">
              <c16:uniqueId val="{00000000-E71B-423E-9855-9905B8224190}"/>
            </c:ext>
          </c:extLst>
        </c:ser>
        <c:ser>
          <c:idx val="1"/>
          <c:order val="1"/>
          <c:tx>
            <c:strRef>
              <c:f>'[2]Weekly report'!$A$101</c:f>
              <c:strCache>
                <c:ptCount val="1"/>
                <c:pt idx="0">
                  <c:v># Of Animals In</c:v>
                </c:pt>
              </c:strCache>
            </c:strRef>
          </c:tx>
          <c:spPr>
            <a:solidFill>
              <a:srgbClr val="00B050"/>
            </a:solidFill>
            <a:ln>
              <a:solidFill>
                <a:srgbClr val="00B050"/>
              </a:solidFill>
            </a:ln>
          </c:spPr>
          <c:invertIfNegative val="0"/>
          <c:cat>
            <c:numRef>
              <c:f>'[2]Weekly report'!$Y$5:$BO$5</c:f>
              <c:numCache>
                <c:formatCode>General</c:formatCod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numCache>
            </c:numRef>
          </c:cat>
          <c:val>
            <c:numRef>
              <c:f>'[2]Weekly report'!$Y$101:$BO$101</c:f>
              <c:numCache>
                <c:formatCode>General</c:formatCode>
                <c:ptCount val="43"/>
                <c:pt idx="0">
                  <c:v>2</c:v>
                </c:pt>
                <c:pt idx="1">
                  <c:v>3</c:v>
                </c:pt>
                <c:pt idx="3">
                  <c:v>1</c:v>
                </c:pt>
                <c:pt idx="4">
                  <c:v>1</c:v>
                </c:pt>
                <c:pt idx="5">
                  <c:v>1</c:v>
                </c:pt>
                <c:pt idx="6">
                  <c:v>1</c:v>
                </c:pt>
                <c:pt idx="7">
                  <c:v>2</c:v>
                </c:pt>
                <c:pt idx="8">
                  <c:v>3</c:v>
                </c:pt>
                <c:pt idx="9">
                  <c:v>2</c:v>
                </c:pt>
                <c:pt idx="10">
                  <c:v>4</c:v>
                </c:pt>
                <c:pt idx="11">
                  <c:v>9</c:v>
                </c:pt>
                <c:pt idx="13">
                  <c:v>1</c:v>
                </c:pt>
                <c:pt idx="14">
                  <c:v>7</c:v>
                </c:pt>
                <c:pt idx="16">
                  <c:v>1</c:v>
                </c:pt>
                <c:pt idx="17">
                  <c:v>3</c:v>
                </c:pt>
                <c:pt idx="18">
                  <c:v>2</c:v>
                </c:pt>
                <c:pt idx="19">
                  <c:v>3</c:v>
                </c:pt>
                <c:pt idx="20">
                  <c:v>8</c:v>
                </c:pt>
                <c:pt idx="21">
                  <c:v>8</c:v>
                </c:pt>
                <c:pt idx="22">
                  <c:v>8</c:v>
                </c:pt>
                <c:pt idx="23">
                  <c:v>8</c:v>
                </c:pt>
                <c:pt idx="24">
                  <c:v>8</c:v>
                </c:pt>
                <c:pt idx="25">
                  <c:v>9</c:v>
                </c:pt>
                <c:pt idx="26">
                  <c:v>5</c:v>
                </c:pt>
                <c:pt idx="27">
                  <c:v>11</c:v>
                </c:pt>
                <c:pt idx="28">
                  <c:v>10</c:v>
                </c:pt>
                <c:pt idx="29">
                  <c:v>9</c:v>
                </c:pt>
                <c:pt idx="30">
                  <c:v>6</c:v>
                </c:pt>
                <c:pt idx="31">
                  <c:v>7</c:v>
                </c:pt>
                <c:pt idx="32">
                  <c:v>8</c:v>
                </c:pt>
                <c:pt idx="33">
                  <c:v>11</c:v>
                </c:pt>
                <c:pt idx="34">
                  <c:v>12</c:v>
                </c:pt>
                <c:pt idx="35">
                  <c:v>9</c:v>
                </c:pt>
                <c:pt idx="36">
                  <c:v>7</c:v>
                </c:pt>
                <c:pt idx="37">
                  <c:v>11</c:v>
                </c:pt>
              </c:numCache>
            </c:numRef>
          </c:val>
          <c:extLst>
            <c:ext xmlns:c16="http://schemas.microsoft.com/office/drawing/2014/chart" uri="{C3380CC4-5D6E-409C-BE32-E72D297353CC}">
              <c16:uniqueId val="{00000001-E71B-423E-9855-9905B8224190}"/>
            </c:ext>
          </c:extLst>
        </c:ser>
        <c:ser>
          <c:idx val="2"/>
          <c:order val="2"/>
          <c:tx>
            <c:strRef>
              <c:f>'[2]Weekly report'!$A$103</c:f>
              <c:strCache>
                <c:ptCount val="1"/>
                <c:pt idx="0">
                  <c:v># Of Animals Over</c:v>
                </c:pt>
              </c:strCache>
            </c:strRef>
          </c:tx>
          <c:spPr>
            <a:solidFill>
              <a:srgbClr val="0070C0"/>
            </a:solidFill>
            <a:ln>
              <a:solidFill>
                <a:srgbClr val="0070C0"/>
              </a:solidFill>
            </a:ln>
          </c:spPr>
          <c:invertIfNegative val="0"/>
          <c:cat>
            <c:numRef>
              <c:f>'[2]Weekly report'!$Y$5:$BO$5</c:f>
              <c:numCache>
                <c:formatCode>General</c:formatCod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numCache>
            </c:numRef>
          </c:cat>
          <c:val>
            <c:numRef>
              <c:f>'[2]Weekly report'!$Y$103:$BO$103</c:f>
              <c:numCache>
                <c:formatCode>General</c:formatCode>
                <c:ptCount val="43"/>
                <c:pt idx="0">
                  <c:v>2</c:v>
                </c:pt>
                <c:pt idx="1">
                  <c:v>4</c:v>
                </c:pt>
                <c:pt idx="2">
                  <c:v>10</c:v>
                </c:pt>
                <c:pt idx="3">
                  <c:v>9</c:v>
                </c:pt>
                <c:pt idx="4">
                  <c:v>9</c:v>
                </c:pt>
                <c:pt idx="5">
                  <c:v>9</c:v>
                </c:pt>
                <c:pt idx="6">
                  <c:v>11</c:v>
                </c:pt>
                <c:pt idx="7">
                  <c:v>8</c:v>
                </c:pt>
                <c:pt idx="8">
                  <c:v>5</c:v>
                </c:pt>
                <c:pt idx="9">
                  <c:v>9</c:v>
                </c:pt>
                <c:pt idx="10">
                  <c:v>7</c:v>
                </c:pt>
                <c:pt idx="12">
                  <c:v>11</c:v>
                </c:pt>
                <c:pt idx="13">
                  <c:v>9</c:v>
                </c:pt>
                <c:pt idx="14">
                  <c:v>4</c:v>
                </c:pt>
                <c:pt idx="15">
                  <c:v>11</c:v>
                </c:pt>
                <c:pt idx="16">
                  <c:v>7</c:v>
                </c:pt>
                <c:pt idx="17">
                  <c:v>7</c:v>
                </c:pt>
                <c:pt idx="18">
                  <c:v>8</c:v>
                </c:pt>
                <c:pt idx="19">
                  <c:v>8</c:v>
                </c:pt>
                <c:pt idx="21">
                  <c:v>1</c:v>
                </c:pt>
                <c:pt idx="23">
                  <c:v>1</c:v>
                </c:pt>
                <c:pt idx="24">
                  <c:v>1</c:v>
                </c:pt>
                <c:pt idx="25">
                  <c:v>2</c:v>
                </c:pt>
                <c:pt idx="26">
                  <c:v>4</c:v>
                </c:pt>
                <c:pt idx="28">
                  <c:v>1</c:v>
                </c:pt>
                <c:pt idx="30">
                  <c:v>2</c:v>
                </c:pt>
                <c:pt idx="31">
                  <c:v>1</c:v>
                </c:pt>
                <c:pt idx="32">
                  <c:v>2</c:v>
                </c:pt>
                <c:pt idx="35">
                  <c:v>1</c:v>
                </c:pt>
                <c:pt idx="36">
                  <c:v>4</c:v>
                </c:pt>
              </c:numCache>
            </c:numRef>
          </c:val>
          <c:extLst>
            <c:ext xmlns:c16="http://schemas.microsoft.com/office/drawing/2014/chart" uri="{C3380CC4-5D6E-409C-BE32-E72D297353CC}">
              <c16:uniqueId val="{00000002-E71B-423E-9855-9905B8224190}"/>
            </c:ext>
          </c:extLst>
        </c:ser>
        <c:dLbls>
          <c:showLegendKey val="0"/>
          <c:showVal val="0"/>
          <c:showCatName val="0"/>
          <c:showSerName val="0"/>
          <c:showPercent val="0"/>
          <c:showBubbleSize val="0"/>
        </c:dLbls>
        <c:gapWidth val="150"/>
        <c:overlap val="100"/>
        <c:axId val="446319552"/>
        <c:axId val="446320336"/>
      </c:barChart>
      <c:catAx>
        <c:axId val="446319552"/>
        <c:scaling>
          <c:orientation val="minMax"/>
        </c:scaling>
        <c:delete val="0"/>
        <c:axPos val="b"/>
        <c:title>
          <c:tx>
            <c:rich>
              <a:bodyPr/>
              <a:lstStyle/>
              <a:p>
                <a:pPr>
                  <a:defRPr/>
                </a:pPr>
                <a:r>
                  <a:rPr lang="en-US"/>
                  <a:t>WEEKS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46320336"/>
        <c:crosses val="autoZero"/>
        <c:auto val="1"/>
        <c:lblAlgn val="ctr"/>
        <c:lblOffset val="100"/>
        <c:noMultiLvlLbl val="0"/>
      </c:catAx>
      <c:valAx>
        <c:axId val="446320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COUNT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631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9</xdr:col>
      <xdr:colOff>251831</xdr:colOff>
      <xdr:row>15</xdr:row>
      <xdr:rowOff>190499</xdr:rowOff>
    </xdr:to>
    <xdr:pic>
      <xdr:nvPicPr>
        <xdr:cNvPr id="2" name="Picture 1">
          <a:extLst>
            <a:ext uri="{FF2B5EF4-FFF2-40B4-BE49-F238E27FC236}">
              <a16:creationId xmlns:a16="http://schemas.microsoft.com/office/drawing/2014/main" id="{A5DA78FB-AC04-4681-2606-D42B64E32417}"/>
            </a:ext>
          </a:extLst>
        </xdr:cNvPr>
        <xdr:cNvPicPr>
          <a:picLocks noChangeAspect="1"/>
        </xdr:cNvPicPr>
      </xdr:nvPicPr>
      <xdr:blipFill>
        <a:blip xmlns:r="http://schemas.openxmlformats.org/officeDocument/2006/relationships" r:embed="rId1"/>
        <a:stretch>
          <a:fillRect/>
        </a:stretch>
      </xdr:blipFill>
      <xdr:spPr>
        <a:xfrm>
          <a:off x="1" y="0"/>
          <a:ext cx="5738230" cy="3047999"/>
        </a:xfrm>
        <a:prstGeom prst="rect">
          <a:avLst/>
        </a:prstGeom>
      </xdr:spPr>
    </xdr:pic>
    <xdr:clientData/>
  </xdr:twoCellAnchor>
  <xdr:twoCellAnchor>
    <xdr:from>
      <xdr:col>9</xdr:col>
      <xdr:colOff>504826</xdr:colOff>
      <xdr:row>0</xdr:row>
      <xdr:rowOff>0</xdr:rowOff>
    </xdr:from>
    <xdr:to>
      <xdr:col>19</xdr:col>
      <xdr:colOff>409576</xdr:colOff>
      <xdr:row>15</xdr:row>
      <xdr:rowOff>180975</xdr:rowOff>
    </xdr:to>
    <xdr:graphicFrame macro="">
      <xdr:nvGraphicFramePr>
        <xdr:cNvPr id="3" name="Chart 1">
          <a:extLst>
            <a:ext uri="{FF2B5EF4-FFF2-40B4-BE49-F238E27FC236}">
              <a16:creationId xmlns:a16="http://schemas.microsoft.com/office/drawing/2014/main" id="{BB4AC189-9E86-4F6C-8B2D-056720D2F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17</xdr:row>
      <xdr:rowOff>1</xdr:rowOff>
    </xdr:from>
    <xdr:to>
      <xdr:col>9</xdr:col>
      <xdr:colOff>266701</xdr:colOff>
      <xdr:row>32</xdr:row>
      <xdr:rowOff>38101</xdr:rowOff>
    </xdr:to>
    <xdr:graphicFrame macro="">
      <xdr:nvGraphicFramePr>
        <xdr:cNvPr id="4" name="Chart 1">
          <a:extLst>
            <a:ext uri="{FF2B5EF4-FFF2-40B4-BE49-F238E27FC236}">
              <a16:creationId xmlns:a16="http://schemas.microsoft.com/office/drawing/2014/main" id="{096EDA44-816C-4080-BADB-A484F3D20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285750</xdr:colOff>
      <xdr:row>2</xdr:row>
      <xdr:rowOff>161925</xdr:rowOff>
    </xdr:from>
    <xdr:to>
      <xdr:col>33</xdr:col>
      <xdr:colOff>533860</xdr:colOff>
      <xdr:row>26</xdr:row>
      <xdr:rowOff>19668</xdr:rowOff>
    </xdr:to>
    <xdr:pic>
      <xdr:nvPicPr>
        <xdr:cNvPr id="2" name="Picture 1">
          <a:extLst>
            <a:ext uri="{FF2B5EF4-FFF2-40B4-BE49-F238E27FC236}">
              <a16:creationId xmlns:a16="http://schemas.microsoft.com/office/drawing/2014/main" id="{FA089D74-14BE-AD2A-F927-04805C0B521E}"/>
            </a:ext>
          </a:extLst>
        </xdr:cNvPr>
        <xdr:cNvPicPr>
          <a:picLocks noChangeAspect="1"/>
        </xdr:cNvPicPr>
      </xdr:nvPicPr>
      <xdr:blipFill>
        <a:blip xmlns:r="http://schemas.openxmlformats.org/officeDocument/2006/relationships" r:embed="rId1"/>
        <a:stretch>
          <a:fillRect/>
        </a:stretch>
      </xdr:blipFill>
      <xdr:spPr>
        <a:xfrm>
          <a:off x="19469100" y="542925"/>
          <a:ext cx="3296110" cy="4429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jimmyson_grasmere_co_zw/Documents/Documents/CCC/FY27/NAVFarm/Porta%20-%20KPI%20Triple%20C%20Pigs.xlsx" TargetMode="External"/><Relationship Id="rId2" Type="http://schemas.openxmlformats.org/officeDocument/2006/relationships/externalLinkPath" Target="https://triplecpigs-my.sharepoint.com/personal/jimmyson_grasmere_co_zw/Documents/Documents/CCC/FY27/NAVFarm/Porta%20-%20KPI%20Triple%20C%20Pigs.xlsx" TargetMode="External"/><Relationship Id="rId1" Type="http://schemas.openxmlformats.org/officeDocument/2006/relationships/externalLinkPath" Target="/personal/jimmyson_grasmere_co_zw/Documents/Documents/CCC/FY27/NAVFarm/Porta%20-%20KPI%20Triple%20C%20Pig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ropbox\Triple%20C%20Pigs%20Production%20Folder\1.%20Weekly%20Farm%20Report%20-%20good\Porta\Porta%20weekly%20farm%20report.xlsx" TargetMode="External"/><Relationship Id="rId1" Type="http://schemas.openxmlformats.org/officeDocument/2006/relationships/externalLinkPath" Target="file:///C:\Users\user\Dropbox\Triple%20C%20Pigs%20Production%20Folder\1.%20Weekly%20Farm%20Report%20-%20good\Porta\Porta%20weekly%20farm%20repor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OneDrive%20-%20Triple%20C%20Pigs\Documents\CCC\FY27\Farrowing\Farrowing%20Feed%20Schedule%20-%2027072026.xlsx" TargetMode="External"/><Relationship Id="rId1" Type="http://schemas.openxmlformats.org/officeDocument/2006/relationships/externalLinkPath" Target="file:///C:\Users\user\OneDrive%20-%20Triple%20C%20Pigs\Documents\CCC\FY27\Farrowing\Farrowing%20Feed%20Schedule%20-%202707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92">
          <cell r="E92">
            <v>1.5</v>
          </cell>
        </row>
        <row r="95">
          <cell r="E95">
            <v>1.1000000000000001</v>
          </cell>
        </row>
        <row r="98">
          <cell r="E98">
            <v>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eekly report"/>
    </sheetNames>
    <sheetDataSet>
      <sheetData sheetId="0"/>
      <sheetData sheetId="1">
        <row r="3">
          <cell r="Y3">
            <v>2534</v>
          </cell>
          <cell r="Z3">
            <v>2535</v>
          </cell>
          <cell r="AA3">
            <v>2536</v>
          </cell>
          <cell r="AB3">
            <v>2537</v>
          </cell>
          <cell r="AC3">
            <v>2538</v>
          </cell>
          <cell r="AD3">
            <v>2539</v>
          </cell>
          <cell r="AE3">
            <v>2540</v>
          </cell>
          <cell r="AF3">
            <v>2541</v>
          </cell>
          <cell r="AG3">
            <v>2542</v>
          </cell>
          <cell r="AH3">
            <v>2543</v>
          </cell>
          <cell r="AI3">
            <v>2544</v>
          </cell>
          <cell r="AJ3">
            <v>2545</v>
          </cell>
          <cell r="AK3">
            <v>2546</v>
          </cell>
          <cell r="AL3">
            <v>2547</v>
          </cell>
          <cell r="AM3">
            <v>2548</v>
          </cell>
          <cell r="AN3">
            <v>2549</v>
          </cell>
          <cell r="AO3">
            <v>2550</v>
          </cell>
          <cell r="AP3">
            <v>2551</v>
          </cell>
          <cell r="AQ3">
            <v>2552</v>
          </cell>
          <cell r="AR3">
            <v>2601</v>
          </cell>
          <cell r="AS3">
            <v>2602</v>
          </cell>
          <cell r="AT3">
            <v>2603</v>
          </cell>
          <cell r="AU3">
            <v>2604</v>
          </cell>
          <cell r="AV3">
            <v>2605</v>
          </cell>
          <cell r="AW3">
            <v>2606</v>
          </cell>
          <cell r="AX3">
            <v>2607</v>
          </cell>
          <cell r="AY3">
            <v>2608</v>
          </cell>
          <cell r="AZ3">
            <v>2609</v>
          </cell>
          <cell r="BA3">
            <v>2610</v>
          </cell>
          <cell r="BB3">
            <v>2611</v>
          </cell>
          <cell r="BC3">
            <v>2612</v>
          </cell>
          <cell r="BD3">
            <v>2613</v>
          </cell>
          <cell r="BE3">
            <v>2614</v>
          </cell>
          <cell r="BF3">
            <v>2615</v>
          </cell>
          <cell r="BG3">
            <v>2616</v>
          </cell>
          <cell r="BH3">
            <v>2617</v>
          </cell>
          <cell r="BI3">
            <v>2618</v>
          </cell>
          <cell r="BJ3">
            <v>2619</v>
          </cell>
          <cell r="BK3">
            <v>2620</v>
          </cell>
          <cell r="BL3">
            <v>2621</v>
          </cell>
          <cell r="BM3">
            <v>2622</v>
          </cell>
          <cell r="BN3">
            <v>2623</v>
          </cell>
          <cell r="BO3">
            <v>2624</v>
          </cell>
        </row>
        <row r="5">
          <cell r="Y5">
            <v>2523</v>
          </cell>
          <cell r="Z5">
            <v>2524</v>
          </cell>
          <cell r="AA5">
            <v>2525</v>
          </cell>
          <cell r="AB5">
            <v>2526</v>
          </cell>
          <cell r="AC5">
            <v>2527</v>
          </cell>
          <cell r="AD5">
            <v>2528</v>
          </cell>
          <cell r="AE5">
            <v>2529</v>
          </cell>
          <cell r="AF5">
            <v>2530</v>
          </cell>
          <cell r="AG5">
            <v>2531</v>
          </cell>
          <cell r="AH5">
            <v>2532</v>
          </cell>
          <cell r="AI5">
            <v>2533</v>
          </cell>
          <cell r="AJ5">
            <v>2534</v>
          </cell>
          <cell r="AK5">
            <v>2535</v>
          </cell>
          <cell r="AL5">
            <v>2536</v>
          </cell>
          <cell r="AM5">
            <v>2537</v>
          </cell>
          <cell r="AN5">
            <v>2538</v>
          </cell>
          <cell r="AO5">
            <v>2539</v>
          </cell>
          <cell r="AP5">
            <v>2540</v>
          </cell>
          <cell r="AQ5">
            <v>2541</v>
          </cell>
          <cell r="AR5">
            <v>2542</v>
          </cell>
          <cell r="AS5">
            <v>2543</v>
          </cell>
          <cell r="AT5">
            <v>2544</v>
          </cell>
          <cell r="AU5">
            <v>2545</v>
          </cell>
          <cell r="AV5">
            <v>2546</v>
          </cell>
          <cell r="AW5">
            <v>2547</v>
          </cell>
          <cell r="AX5">
            <v>2548</v>
          </cell>
          <cell r="AY5">
            <v>2549</v>
          </cell>
          <cell r="AZ5">
            <v>2550</v>
          </cell>
          <cell r="BA5">
            <v>2551</v>
          </cell>
          <cell r="BB5">
            <v>2552</v>
          </cell>
          <cell r="BC5">
            <v>2601</v>
          </cell>
          <cell r="BD5">
            <v>2602</v>
          </cell>
          <cell r="BE5">
            <v>2603</v>
          </cell>
          <cell r="BF5">
            <v>2604</v>
          </cell>
          <cell r="BG5">
            <v>2605</v>
          </cell>
          <cell r="BH5">
            <v>2606</v>
          </cell>
          <cell r="BI5">
            <v>2607</v>
          </cell>
          <cell r="BJ5">
            <v>2608</v>
          </cell>
          <cell r="BK5">
            <v>2609</v>
          </cell>
          <cell r="BL5">
            <v>2610</v>
          </cell>
          <cell r="BM5">
            <v>2611</v>
          </cell>
          <cell r="BN5">
            <v>2612</v>
          </cell>
          <cell r="BO5">
            <v>2613</v>
          </cell>
        </row>
        <row r="59">
          <cell r="A59" t="str">
            <v># Of Animals Under</v>
          </cell>
          <cell r="Y59">
            <v>2</v>
          </cell>
          <cell r="Z59">
            <v>8</v>
          </cell>
          <cell r="AA59">
            <v>2</v>
          </cell>
          <cell r="AB59">
            <v>4</v>
          </cell>
          <cell r="AC59">
            <v>6</v>
          </cell>
          <cell r="AD59">
            <v>6</v>
          </cell>
          <cell r="AE59">
            <v>12</v>
          </cell>
          <cell r="AF59">
            <v>13</v>
          </cell>
          <cell r="AG59">
            <v>8</v>
          </cell>
          <cell r="AH59">
            <v>11</v>
          </cell>
          <cell r="AI59">
            <v>2</v>
          </cell>
          <cell r="AJ59">
            <v>2</v>
          </cell>
          <cell r="AK59">
            <v>9</v>
          </cell>
          <cell r="AL59">
            <v>9</v>
          </cell>
          <cell r="AM59">
            <v>5</v>
          </cell>
          <cell r="AN59">
            <v>1</v>
          </cell>
          <cell r="AO59">
            <v>2</v>
          </cell>
          <cell r="AP59">
            <v>3</v>
          </cell>
          <cell r="AQ59">
            <v>6</v>
          </cell>
          <cell r="AR59">
            <v>5</v>
          </cell>
          <cell r="AS59">
            <v>8</v>
          </cell>
          <cell r="AT59">
            <v>2</v>
          </cell>
          <cell r="AU59">
            <v>4</v>
          </cell>
          <cell r="AV59">
            <v>2</v>
          </cell>
          <cell r="AX59">
            <v>2</v>
          </cell>
          <cell r="AY59">
            <v>1</v>
          </cell>
          <cell r="AZ59">
            <v>2</v>
          </cell>
          <cell r="BA59">
            <v>4</v>
          </cell>
          <cell r="BB59">
            <v>9</v>
          </cell>
          <cell r="BC59">
            <v>6</v>
          </cell>
          <cell r="BD59">
            <v>3</v>
          </cell>
          <cell r="BE59">
            <v>2</v>
          </cell>
          <cell r="BF59">
            <v>2</v>
          </cell>
          <cell r="BG59">
            <v>7</v>
          </cell>
          <cell r="BJ59">
            <v>7</v>
          </cell>
        </row>
        <row r="61">
          <cell r="A61" t="str">
            <v># Of Animals In</v>
          </cell>
          <cell r="Y61">
            <v>2</v>
          </cell>
          <cell r="AA61">
            <v>1</v>
          </cell>
          <cell r="AB61">
            <v>1</v>
          </cell>
          <cell r="AC61">
            <v>4</v>
          </cell>
          <cell r="AD61">
            <v>4</v>
          </cell>
          <cell r="AG61">
            <v>2</v>
          </cell>
          <cell r="AI61">
            <v>3</v>
          </cell>
          <cell r="AJ61">
            <v>5</v>
          </cell>
          <cell r="AK61">
            <v>1</v>
          </cell>
          <cell r="AL61">
            <v>1</v>
          </cell>
          <cell r="AM61">
            <v>1</v>
          </cell>
          <cell r="AN61">
            <v>5</v>
          </cell>
          <cell r="AO61">
            <v>7</v>
          </cell>
          <cell r="AP61">
            <v>7</v>
          </cell>
          <cell r="AQ61">
            <v>6</v>
          </cell>
          <cell r="AR61">
            <v>6</v>
          </cell>
          <cell r="AS61">
            <v>3</v>
          </cell>
          <cell r="AT61">
            <v>7</v>
          </cell>
          <cell r="AU61">
            <v>8</v>
          </cell>
          <cell r="AV61">
            <v>8</v>
          </cell>
          <cell r="AW61">
            <v>7</v>
          </cell>
          <cell r="AX61">
            <v>2</v>
          </cell>
          <cell r="AY61">
            <v>5</v>
          </cell>
          <cell r="AZ61">
            <v>7</v>
          </cell>
          <cell r="BA61">
            <v>5</v>
          </cell>
          <cell r="BB61">
            <v>1</v>
          </cell>
          <cell r="BC61">
            <v>5</v>
          </cell>
          <cell r="BD61">
            <v>7</v>
          </cell>
          <cell r="BE61">
            <v>7</v>
          </cell>
          <cell r="BF61">
            <v>4</v>
          </cell>
          <cell r="BG61">
            <v>7</v>
          </cell>
          <cell r="BH61">
            <v>4</v>
          </cell>
          <cell r="BI61">
            <v>4</v>
          </cell>
          <cell r="BJ61">
            <v>5</v>
          </cell>
        </row>
        <row r="63">
          <cell r="A63" t="str">
            <v># Of Animals Over</v>
          </cell>
          <cell r="Y63">
            <v>6</v>
          </cell>
          <cell r="Z63">
            <v>4</v>
          </cell>
          <cell r="AA63">
            <v>9</v>
          </cell>
          <cell r="AB63">
            <v>7</v>
          </cell>
          <cell r="AG63">
            <v>1</v>
          </cell>
          <cell r="AI63">
            <v>5</v>
          </cell>
          <cell r="AJ63">
            <v>3</v>
          </cell>
          <cell r="AK63">
            <v>2</v>
          </cell>
          <cell r="AL63">
            <v>2</v>
          </cell>
          <cell r="AM63">
            <v>6</v>
          </cell>
          <cell r="AN63">
            <v>3</v>
          </cell>
          <cell r="AO63">
            <v>2</v>
          </cell>
          <cell r="AP63">
            <v>1</v>
          </cell>
          <cell r="AS63">
            <v>1</v>
          </cell>
          <cell r="AT63">
            <v>1</v>
          </cell>
          <cell r="AV63">
            <v>2</v>
          </cell>
          <cell r="AW63">
            <v>5</v>
          </cell>
          <cell r="AX63">
            <v>8</v>
          </cell>
          <cell r="AY63">
            <v>3</v>
          </cell>
          <cell r="AZ63">
            <v>2</v>
          </cell>
          <cell r="BA63">
            <v>1</v>
          </cell>
          <cell r="BC63">
            <v>1</v>
          </cell>
          <cell r="BE63">
            <v>1</v>
          </cell>
          <cell r="BF63">
            <v>2</v>
          </cell>
          <cell r="BG63">
            <v>1</v>
          </cell>
          <cell r="BH63">
            <v>8</v>
          </cell>
          <cell r="BI63">
            <v>6</v>
          </cell>
        </row>
        <row r="99">
          <cell r="A99" t="str">
            <v># Of Animals Under</v>
          </cell>
          <cell r="Y99">
            <v>3</v>
          </cell>
          <cell r="Z99">
            <v>3</v>
          </cell>
          <cell r="AG99">
            <v>4</v>
          </cell>
          <cell r="AK99">
            <v>2</v>
          </cell>
          <cell r="AN99">
            <v>1</v>
          </cell>
          <cell r="AQ99">
            <v>2</v>
          </cell>
          <cell r="AS99">
            <v>3</v>
          </cell>
          <cell r="AT99">
            <v>1</v>
          </cell>
          <cell r="AU99">
            <v>1</v>
          </cell>
          <cell r="AW99">
            <v>3</v>
          </cell>
          <cell r="AX99">
            <v>1</v>
          </cell>
          <cell r="BB99">
            <v>2</v>
          </cell>
          <cell r="BC99">
            <v>2</v>
          </cell>
          <cell r="BD99">
            <v>4</v>
          </cell>
          <cell r="BF99">
            <v>1</v>
          </cell>
          <cell r="BH99">
            <v>2</v>
          </cell>
          <cell r="BJ99">
            <v>1</v>
          </cell>
        </row>
        <row r="101">
          <cell r="A101" t="str">
            <v># Of Animals In</v>
          </cell>
          <cell r="Y101">
            <v>2</v>
          </cell>
          <cell r="Z101">
            <v>3</v>
          </cell>
          <cell r="AB101">
            <v>1</v>
          </cell>
          <cell r="AC101">
            <v>1</v>
          </cell>
          <cell r="AD101">
            <v>1</v>
          </cell>
          <cell r="AE101">
            <v>1</v>
          </cell>
          <cell r="AF101">
            <v>2</v>
          </cell>
          <cell r="AG101">
            <v>3</v>
          </cell>
          <cell r="AH101">
            <v>2</v>
          </cell>
          <cell r="AI101">
            <v>4</v>
          </cell>
          <cell r="AJ101">
            <v>9</v>
          </cell>
          <cell r="AL101">
            <v>1</v>
          </cell>
          <cell r="AM101">
            <v>7</v>
          </cell>
          <cell r="AO101">
            <v>1</v>
          </cell>
          <cell r="AP101">
            <v>3</v>
          </cell>
          <cell r="AQ101">
            <v>2</v>
          </cell>
          <cell r="AR101">
            <v>3</v>
          </cell>
          <cell r="AS101">
            <v>8</v>
          </cell>
          <cell r="AT101">
            <v>8</v>
          </cell>
          <cell r="AU101">
            <v>8</v>
          </cell>
          <cell r="AV101">
            <v>8</v>
          </cell>
          <cell r="AW101">
            <v>8</v>
          </cell>
          <cell r="AX101">
            <v>9</v>
          </cell>
          <cell r="AY101">
            <v>5</v>
          </cell>
          <cell r="AZ101">
            <v>11</v>
          </cell>
          <cell r="BA101">
            <v>10</v>
          </cell>
          <cell r="BB101">
            <v>9</v>
          </cell>
          <cell r="BC101">
            <v>6</v>
          </cell>
          <cell r="BD101">
            <v>7</v>
          </cell>
          <cell r="BE101">
            <v>8</v>
          </cell>
          <cell r="BF101">
            <v>11</v>
          </cell>
          <cell r="BG101">
            <v>12</v>
          </cell>
          <cell r="BH101">
            <v>9</v>
          </cell>
          <cell r="BI101">
            <v>7</v>
          </cell>
          <cell r="BJ101">
            <v>11</v>
          </cell>
        </row>
        <row r="103">
          <cell r="A103" t="str">
            <v># Of Animals Over</v>
          </cell>
          <cell r="Y103">
            <v>2</v>
          </cell>
          <cell r="Z103">
            <v>4</v>
          </cell>
          <cell r="AA103">
            <v>10</v>
          </cell>
          <cell r="AB103">
            <v>9</v>
          </cell>
          <cell r="AC103">
            <v>9</v>
          </cell>
          <cell r="AD103">
            <v>9</v>
          </cell>
          <cell r="AE103">
            <v>11</v>
          </cell>
          <cell r="AF103">
            <v>8</v>
          </cell>
          <cell r="AG103">
            <v>5</v>
          </cell>
          <cell r="AH103">
            <v>9</v>
          </cell>
          <cell r="AI103">
            <v>7</v>
          </cell>
          <cell r="AK103">
            <v>11</v>
          </cell>
          <cell r="AL103">
            <v>9</v>
          </cell>
          <cell r="AM103">
            <v>4</v>
          </cell>
          <cell r="AN103">
            <v>11</v>
          </cell>
          <cell r="AO103">
            <v>7</v>
          </cell>
          <cell r="AP103">
            <v>7</v>
          </cell>
          <cell r="AQ103">
            <v>8</v>
          </cell>
          <cell r="AR103">
            <v>8</v>
          </cell>
          <cell r="AT103">
            <v>1</v>
          </cell>
          <cell r="AV103">
            <v>1</v>
          </cell>
          <cell r="AW103">
            <v>1</v>
          </cell>
          <cell r="AX103">
            <v>2</v>
          </cell>
          <cell r="AY103">
            <v>4</v>
          </cell>
          <cell r="BA103">
            <v>1</v>
          </cell>
          <cell r="BC103">
            <v>2</v>
          </cell>
          <cell r="BD103">
            <v>1</v>
          </cell>
          <cell r="BE103">
            <v>2</v>
          </cell>
          <cell r="BH103">
            <v>1</v>
          </cell>
          <cell r="BI103">
            <v>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w July 2026"/>
      <sheetName val="Gilt July 2026"/>
      <sheetName val="Calibration"/>
      <sheetName val="Sheet1"/>
    </sheetNames>
    <sheetDataSet>
      <sheetData sheetId="0"/>
      <sheetData sheetId="1"/>
      <sheetData sheetId="2">
        <row r="7">
          <cell r="J7">
            <v>1.125</v>
          </cell>
        </row>
        <row r="8">
          <cell r="C8">
            <v>1.25</v>
          </cell>
          <cell r="J8">
            <v>1.25</v>
          </cell>
        </row>
        <row r="9">
          <cell r="C9">
            <v>1.35</v>
          </cell>
          <cell r="J9">
            <v>1.35</v>
          </cell>
        </row>
        <row r="10">
          <cell r="C10">
            <v>1.5</v>
          </cell>
          <cell r="J10">
            <v>1.6</v>
          </cell>
        </row>
        <row r="11">
          <cell r="C11">
            <v>1.7</v>
          </cell>
        </row>
        <row r="12">
          <cell r="C12">
            <v>1.9</v>
          </cell>
        </row>
        <row r="13">
          <cell r="C13">
            <v>2</v>
          </cell>
        </row>
        <row r="14">
          <cell r="C14">
            <v>2.2000000000000002</v>
          </cell>
        </row>
        <row r="15">
          <cell r="C15">
            <v>2.2999999999999998</v>
          </cell>
        </row>
        <row r="16">
          <cell r="C16">
            <v>2.5</v>
          </cell>
        </row>
        <row r="17">
          <cell r="C17">
            <v>2.7</v>
          </cell>
        </row>
        <row r="18">
          <cell r="C18">
            <v>2.9</v>
          </cell>
        </row>
        <row r="19">
          <cell r="C19">
            <v>3</v>
          </cell>
        </row>
      </sheetData>
      <sheetData sheetId="3"/>
    </sheetDataSet>
  </externalBook>
</externalLink>
</file>

<file path=xl/persons/person.xml><?xml version="1.0" encoding="utf-8"?>
<personList xmlns="http://schemas.microsoft.com/office/spreadsheetml/2018/threadedcomments" xmlns:x="http://schemas.openxmlformats.org/spreadsheetml/2006/main">
  <person displayName="Gerd Baum" id="{86CD3FBC-B92C-4F82-8BE3-5DB85E4C09D9}" userId="S::gerd@grasmere.co.zw::a5c77314-ef41-4af9-ac65-8053ac1041de" providerId="AD"/>
  <person displayName="Johan Odendaal" id="{96DB4F4D-DEE8-4A29-92F0-851276145DD3}" userId="S::johan@grasmere.co.zw::ac39a918-291c-46e8-a600-fc4196287077" providerId="AD"/>
  <person displayName="Jimmyson Kazangarare" id="{20878126-D6C6-47CF-89AD-B3A63D79E79F}" userId="S::Jimmyson@grasmere.co.zw::c5cb7563-8501-40f5-9ddf-79bf36741f3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Y4" dT="2026-09-09T05:31:53.23" personId="{96DB4F4D-DEE8-4A29-92F0-851276145DD3}" id="{2F4AE91B-EDCA-4D56-AF93-BEBF66C6872F}">
    <text>In gilt rearing FCE alerts are not relevant - although we would like to track it</text>
  </threadedComment>
  <threadedComment ref="Y4" dT="2026-09-09T05:33:34.59" personId="{96DB4F4D-DEE8-4A29-92F0-851276145DD3}" id="{B06895FB-3BC4-4CA1-B0C0-8573CCA8FF54}" parentId="{2F4AE91B-EDCA-4D56-AF93-BEBF66C6872F}">
    <text>Consider cumulative per month and then monthly summaries per the entire gilt rearing phase</text>
  </threadedComment>
  <threadedComment ref="Z4" dT="2026-09-08T14:49:29.54" personId="{96DB4F4D-DEE8-4A29-92F0-851276145DD3}" id="{DA85A988-B3F3-4811-A23C-734F9B3BF81E}">
    <text>Any gilt mortality should be alerted - no % for this stage as data set too small to run reasonable %’s however we need to take note of any mortality and the reasons in this stage</text>
  </threadedComment>
  <threadedComment ref="AB4" dT="2026-09-09T05:34:38.63" personId="{96DB4F4D-DEE8-4A29-92F0-851276145DD3}" id="{4BBDC28E-9800-4775-A321-78DF488C9AF4}">
    <text xml:space="preserve">See sample sheet - Sample 10, 16 and 27 week variation </text>
  </threadedComment>
  <threadedComment ref="AJ4" dT="2026-09-09T05:35:43.65" personId="{96DB4F4D-DEE8-4A29-92F0-851276145DD3}" id="{FCCA8653-E899-4018-8C76-F3118ABC06E1}">
    <text>See medication table</text>
  </threadedComment>
  <threadedComment ref="AP4" dT="2026-08-25T04:39:36.35" personId="{96DB4F4D-DEE8-4A29-92F0-851276145DD3}" id="{0C957A00-5ADB-4948-A3B7-92F42702AFDE}">
    <text>Comments, notes and instructions change - So make this a section that is editable by farm manager and GM</text>
  </threadedComment>
  <threadedComment ref="T6" dT="2026-08-28T05:50:40.98" personId="{96DB4F4D-DEE8-4A29-92F0-851276145DD3}" id="{4B006DF6-667E-4717-87BD-05DF0974690D}">
    <text xml:space="preserve">There is no specific period as diets are changed or held onto based on weights </text>
  </threadedComment>
  <threadedComment ref="AB6" dT="2026-09-09T05:34:38.63" personId="{96DB4F4D-DEE8-4A29-92F0-851276145DD3}" id="{98B3C631-A34E-4CB5-BEA4-36E384C491D7}">
    <text xml:space="preserve">See sample sheet - Sample 10, 16 and 27 week variation </text>
  </threadedComment>
  <threadedComment ref="T15" dT="2026-08-28T05:50:40.98" personId="{96DB4F4D-DEE8-4A29-92F0-851276145DD3}" id="{D7D2C386-ECA2-497C-BC59-3C866162396A}">
    <text xml:space="preserve">There is no specific period as diets are changed or held onto based on weights </text>
  </threadedComment>
  <threadedComment ref="AA30" dT="2026-09-08T14:44:59.07" personId="{96DB4F4D-DEE8-4A29-92F0-851276145DD3}" id="{C8F3ABA6-641E-46D1-B1AE-3AA38D1C73E6}">
    <text xml:space="preserve">We need an alert to send gilt to the service line. Considerations based on her 24 to 27 week ADG, that she will be minimum in the service line for 10 days, that she will be minimum 30 weeks old and minimum entry service weight based on target range </text>
  </threadedComment>
  <threadedComment ref="AD30" dT="2026-08-28T13:35:04.78" personId="{96DB4F4D-DEE8-4A29-92F0-851276145DD3}" id="{AE231DD7-0278-410C-A6E3-80101F9A58C8}">
    <text>Add the range</text>
  </threadedComment>
  <threadedComment ref="AC39" dT="2026-09-09T12:59:48.68" personId="{96DB4F4D-DEE8-4A29-92F0-851276145DD3}" id="{BA197E70-3335-4D84-A02E-AF620A85A9B2}">
    <text>Gilt service target</text>
  </threadedComment>
</ThreadedComments>
</file>

<file path=xl/threadedComments/threadedComment2.xml><?xml version="1.0" encoding="utf-8"?>
<ThreadedComments xmlns="http://schemas.microsoft.com/office/spreadsheetml/2018/threadedcomments" xmlns:x="http://schemas.openxmlformats.org/spreadsheetml/2006/main">
  <threadedComment ref="K5" dT="2026-09-09T09:02:51.99" personId="{86CD3FBC-B92C-4F82-8BE3-5DB85E4C09D9}" id="{426B628F-F116-4CD5-88A1-BC50DBDAFDB9}">
    <text>Note each batch is housed in 2 different locations
Also note that the 1 location identified as M will house pigs from the same batches simultaneously therefore 2 sub-sub locations per batch</text>
  </threadedComment>
  <threadedComment ref="G38" dT="2026-09-04T05:23:28.41" personId="{96DB4F4D-DEE8-4A29-92F0-851276145DD3}" id="{8E82196A-3E47-4B92-AC87-923A8A0AD74D}">
    <text>Expected to farrow based on service week as well as service day - but the whole batch from a service week will move into the farrowing house</text>
  </threadedComment>
  <threadedComment ref="H38" dT="2026-09-04T05:24:12.32" personId="{96DB4F4D-DEE8-4A29-92F0-851276145DD3}" id="{CEAF5C90-4E01-4539-A2A9-B344E45C1C91}">
    <text>Every week there is a weaned batch based on the entire weeks batch that farrowed</text>
  </threadedComment>
  <threadedComment ref="R38" dT="2026-09-06T13:59:38.66" personId="{20878126-D6C6-47CF-89AD-B3A63D79E79F}" id="{CF346133-B352-4337-B954-9B2363476923}">
    <text>As per Gilt Feed schedule - Farr page</text>
  </threadedComment>
  <threadedComment ref="AA38" dT="2026-09-04T05:45:43.16" personId="{96DB4F4D-DEE8-4A29-92F0-851276145DD3}" id="{D3884F45-635F-4331-9DAB-00665D59C155}">
    <text>TB of the gilts that farrowed - to be analyzed independently of other sows that farrowed</text>
  </threadedComment>
  <threadedComment ref="AB38" dT="2026-09-04T05:46:40.91" personId="{96DB4F4D-DEE8-4A29-92F0-851276145DD3}" id="{8761415D-58CE-4907-A7BB-9CA419BCCF3A}">
    <text>BA of the gilts to be analysed indepentantly of the other sows - both TB and BA to have drop down so as to just choose the number of TB, BA. BD and mummy</text>
  </threadedComment>
  <threadedComment ref="AC38" dT="2026-09-04T05:47:51.80" personId="{96DB4F4D-DEE8-4A29-92F0-851276145DD3}" id="{C0CF3356-4B95-47E9-B567-A95166C907C6}">
    <text>To be measured as both a % of born dead as well as an avg # against all gilts that farrowed</text>
  </threadedComment>
  <threadedComment ref="AC38" dT="2026-09-04T05:49:09.26" personId="{96DB4F4D-DEE8-4A29-92F0-851276145DD3}" id="{F90F7348-45AE-4467-9C42-9B9795B9D073}" parentId="{C0CF3356-4B95-47E9-B567-A95166C907C6}">
    <text xml:space="preserve">BD to also be split into 2 separate fields - Born deads are identified as piglets that were alive when the sow started farrowing and died during the farrowing process. Mummies are piglets that died sometime during pregnancy. </text>
  </threadedComment>
  <threadedComment ref="AE38" dT="2026-09-04T05:49:43.48" personId="{96DB4F4D-DEE8-4A29-92F0-851276145DD3}" id="{5DDF0941-B787-478A-9147-545C1C2611EA}">
    <text>Avg birth weight of piglets born from gilts - will not always be measured but sometimes we require this so we need an option</text>
  </threadedComment>
  <threadedComment ref="AE38" dT="2026-09-04T07:05:06.05" personId="{96DB4F4D-DEE8-4A29-92F0-851276145DD3}" id="{D9AD63CF-15AC-467E-8F49-575A40ACBBA6}" parentId="{5DDF0941-B787-478A-9147-545C1C2611EA}">
    <text xml:space="preserve">Target birth weight is 1.3kgs </text>
  </threadedComment>
  <threadedComment ref="AL38" dT="2026-09-04T05:38:42.84" personId="{96DB4F4D-DEE8-4A29-92F0-851276145DD3}" id="{2433A027-88D3-4ED6-BADE-90CC41B2508D}">
    <text>Not to be confused with piglet mortality under the sow. This is the gilt mortality - if more than 2 gilt mortality's recorded in a batch there needs to be an alert. Mortality codes to link with pig expert, also drop down for reasons needed for independent analysis</text>
  </threadedComment>
  <threadedComment ref="AN38" dT="2026-09-04T06:00:52.24" personId="{96DB4F4D-DEE8-4A29-92F0-851276145DD3}" id="{C144E625-38BC-4378-B210-7B0D8EF44401}">
    <text>See sheet farrowing treatment - include piglet treatments</text>
  </threadedComment>
  <threadedComment ref="X44" dT="2026-09-08T08:18:28.74" personId="{20878126-D6C6-47CF-89AD-B3A63D79E79F}" id="{4515A46E-ED40-4C6A-AB0A-7310F4DE1F19}">
    <text xml:space="preserve">We need to see the individual animal weight loss variation </text>
  </threadedComment>
  <threadedComment ref="AI44" dT="2026-09-04T12:00:14.04" personId="{96DB4F4D-DEE8-4A29-92F0-851276145DD3}" id="{D05A20BB-FEE4-4922-8F15-1D06EA667D3E}">
    <text xml:space="preserve">Gilts should have piglets fostered on to always wean as many piglets as there are teats, even if the BA is lower than the teat #
</text>
  </threadedComment>
  <threadedComment ref="H50" dT="2026-09-04T06:25:15.74" personId="{96DB4F4D-DEE8-4A29-92F0-851276145DD3}" id="{46B3C7E6-79DA-432F-B52E-C373BB3187EC}">
    <text>After the Wednesday an animal will now be considered a stand over</text>
  </threadedComment>
  <threadedComment ref="S50" dT="2026-09-04T12:14:21.19" personId="{96DB4F4D-DEE8-4A29-92F0-851276145DD3}" id="{64E14DD5-9C6B-42E8-A530-E73DBF3C00AA}">
    <text>This is the wean weight from farrowing</text>
  </threadedComment>
  <threadedComment ref="AH50" dT="2026-09-04T12:22:49.06" personId="{96DB4F4D-DEE8-4A29-92F0-851276145DD3}" id="{4B3C6E83-85D3-462F-B64B-44AA8D94234B}">
    <text xml:space="preserve">Alert of more than 2 second parity stand over
</text>
  </threadedComment>
  <threadedComment ref="K52" dT="2026-09-09T09:02:51.99" personId="{86CD3FBC-B92C-4F82-8BE3-5DB85E4C09D9}" id="{04551A8E-5586-4273-8F5E-E92D57686525}">
    <text>Note each batch is housed in 2 different locations
Also note that the 1 location identified as M will house pigs from the same batches simultaneously therefore 2 sub-sub locations per batch</text>
  </threadedComment>
  <threadedComment ref="Q52" dT="2026-09-09T09:38:43.60" personId="{86CD3FBC-B92C-4F82-8BE3-5DB85E4C09D9}" id="{5809E432-A51F-42B8-BDCF-28E28ACA97B2}">
    <text>SEE FEED IN GESTATION SHEET</text>
  </threadedComment>
  <threadedComment ref="U52" dT="2026-09-04T12:37:15.35" personId="{96DB4F4D-DEE8-4A29-92F0-851276145DD3}" id="{0AACC1A0-D89C-4F2C-BF86-CFE47A51FB3F}">
    <text xml:space="preserve">Gain for the phase more important than ADG </text>
  </threadedComment>
  <threadedComment ref="Z52" dT="2026-09-04T12:43:19.86" personId="{96DB4F4D-DEE8-4A29-92F0-851276145DD3}" id="{6357D954-D1BA-4282-A7F9-364A89206F65}">
    <text>Need alert if 2nd parity farrow rate drops below 90%</text>
  </threadedComment>
  <threadedComment ref="AL52" dT="2026-09-03T14:28:28.15" personId="{96DB4F4D-DEE8-4A29-92F0-851276145DD3}" id="{15447164-56F4-4D8B-ACDA-BE80BF4E239D}">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52" dT="2026-09-03T14:29:47.87" personId="{96DB4F4D-DEE8-4A29-92F0-851276145DD3}" id="{DE3C5661-FA3F-4222-9763-5D521BD7D2D8}" parentId="{15447164-56F4-4D8B-ACDA-BE80BF4E239D}">
    <text>NB: Codes need to be the same as the pig vision mortality codes</text>
  </threadedComment>
  <threadedComment ref="AE85" dT="2026-09-04T05:49:43.48" personId="{96DB4F4D-DEE8-4A29-92F0-851276145DD3}" id="{4A7C85D0-4585-4A41-AD17-E644967D63F4}">
    <text>Avg birth weight of piglets born from gilts - will not always be measured but sometimes we require this so we need an option</text>
  </threadedComment>
  <threadedComment ref="AE85" dT="2026-09-04T07:05:06.05" personId="{96DB4F4D-DEE8-4A29-92F0-851276145DD3}" id="{3C66E188-8CA8-41CA-988D-8CAEFCD5E739}" parentId="{4A7C85D0-4585-4A41-AD17-E644967D63F4}">
    <text xml:space="preserve">Target birth weight is 1.3kgs </text>
  </threadedComment>
  <threadedComment ref="AG85" dT="2026-09-04T05:45:43.16" personId="{96DB4F4D-DEE8-4A29-92F0-851276145DD3}" id="{088909D5-3CEA-4FD9-AA56-CE98C4E51DE1}">
    <text>TB of the 2nds that farrowed - to be analyzed independently of other sows that farrowed</text>
  </threadedComment>
  <threadedComment ref="AL85" dT="2026-09-04T05:38:42.84" personId="{96DB4F4D-DEE8-4A29-92F0-851276145DD3}" id="{FC237FF9-D10B-49DC-990B-1F2D743AC79B}">
    <text>Not to be confused with piglet mortality under the sow. This is the 2nd parity mortality - if more than 2 2nd parity mortality's recorded in a batch there needs to be an alert. Mortality codes to link with pig expert, also drop down for reasons needed for independent analysis</text>
  </threadedComment>
  <threadedComment ref="AN85" dT="2026-09-04T05:53:47.88" personId="{96DB4F4D-DEE8-4A29-92F0-851276145DD3}" id="{0CB4EFF5-2300-4C59-9DC3-D45F8A552F67}">
    <text>This is the avg wean weight of the piglets - this is not always captured per individual animal but it is always captured for the whole herd - however we need the option to capture it individually for us to be able to analyse when we choose</text>
  </threadedComment>
  <threadedComment ref="AO85" dT="2026-09-04T05:55:08.94" personId="{96DB4F4D-DEE8-4A29-92F0-851276145DD3}" id="{79CD9B93-A6F0-457F-9384-E66C7877FF07}">
    <text>This is the total litter mass per gilt - weaned per sow x avg wean weight -we always capture this for the whole herd and not always as per individual animal however we need the option</text>
  </threadedComment>
  <threadedComment ref="AK91" dT="2026-09-04T05:51:42.10" personId="{96DB4F4D-DEE8-4A29-92F0-851276145DD3}" id="{AE43A445-AE8F-4E38-89F5-B3D50796E32E}">
    <text>This is the weight of the 2nd parity after she has farrowed. The formula is - weight into farrowing less Total Born x 1.3 - 8.9 - this maternal body weight is needed when we calculate her maternal body weight loss as a % when she weans</text>
  </threadedComment>
  <threadedComment ref="H97" dT="2026-09-04T06:25:15.74" personId="{96DB4F4D-DEE8-4A29-92F0-851276145DD3}" id="{5A2B36BD-0FA1-4AEF-9ADB-F4FBF8BACE50}">
    <text>After the Wednesday an animal will now be considered a stand over</text>
  </threadedComment>
  <threadedComment ref="H97" dT="2026-09-04T13:46:30.01" personId="{96DB4F4D-DEE8-4A29-92F0-851276145DD3}" id="{24D7194C-0997-4255-A9AB-75C8C7358782}" parentId="{5A2B36BD-0FA1-4AEF-9ADB-F4FBF8BACE50}">
    <text>We need a cull indicator on 3rd parity plus</text>
  </threadedComment>
  <threadedComment ref="K99" dT="2026-09-09T09:02:51.99" personId="{86CD3FBC-B92C-4F82-8BE3-5DB85E4C09D9}" id="{D8290539-554C-4539-8F11-0B0AF06F1585}">
    <text>Note each batch is housed in 2 different locations
Also note that the 1 location identified as M will house pigs from the same batches simultaneously therefore 2 sub-sub locations per batch</text>
  </threadedComment>
  <threadedComment ref="Q99" dT="2026-09-09T09:38:43.60" personId="{86CD3FBC-B92C-4F82-8BE3-5DB85E4C09D9}" id="{46D1745B-C90D-4582-BFC4-AD518098324F}">
    <text>SEE FEED IN GESTATION SHEET</text>
  </threadedComment>
  <threadedComment ref="AL99" dT="2026-09-03T14:28:28.15" personId="{96DB4F4D-DEE8-4A29-92F0-851276145DD3}" id="{B1395D96-A62B-4D6D-B17F-E05EC09BD294}">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99" dT="2026-09-03T14:29:47.87" personId="{96DB4F4D-DEE8-4A29-92F0-851276145DD3}" id="{8F8D4D6F-FE71-4FAD-8647-E208B893AB46}" parentId="{B1395D96-A62B-4D6D-B17F-E05EC09BD294}">
    <text>NB: Codes need to be the same as the pig vision mortality codes</text>
  </threadedComment>
  <threadedComment ref="AL100" dT="2026-09-03T14:28:28.15" personId="{96DB4F4D-DEE8-4A29-92F0-851276145DD3}" id="{CF9F5566-A146-4CC3-B549-90D9B5B5BB8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00" dT="2026-09-03T14:29:47.87" personId="{96DB4F4D-DEE8-4A29-92F0-851276145DD3}" id="{7C38EFD8-FC76-4367-9D2E-18E7715FC03E}" parentId="{CF9F5566-A146-4CC3-B549-90D9B5B5BB83}">
    <text>NB: Codes need to be the same as the pig vision mortality codes</text>
  </threadedComment>
  <threadedComment ref="AL101" dT="2026-09-03T14:28:28.15" personId="{96DB4F4D-DEE8-4A29-92F0-851276145DD3}" id="{407B503E-1E27-4954-98C7-277BD0E4628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01" dT="2026-09-03T14:29:47.87" personId="{96DB4F4D-DEE8-4A29-92F0-851276145DD3}" id="{CAC3C6D6-F7D7-434D-BD13-52723BD7C60A}" parentId="{407B503E-1E27-4954-98C7-277BD0E46283}">
    <text>NB: Codes need to be the same as the pig vision mortality codes</text>
  </threadedComment>
  <threadedComment ref="AL102" dT="2026-09-03T14:28:28.15" personId="{96DB4F4D-DEE8-4A29-92F0-851276145DD3}" id="{35CEF78F-9013-4FA0-A207-11A574A2EDD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02" dT="2026-09-03T14:29:47.87" personId="{96DB4F4D-DEE8-4A29-92F0-851276145DD3}" id="{419782FE-8C9D-4D45-A096-24E746916FAB}" parentId="{35CEF78F-9013-4FA0-A207-11A574A2EDD3}">
    <text>NB: Codes need to be the same as the pig vision mortality codes</text>
  </threadedComment>
  <threadedComment ref="AL103" dT="2026-09-03T14:28:28.15" personId="{96DB4F4D-DEE8-4A29-92F0-851276145DD3}" id="{281D7D16-5854-419E-AC81-C8410F5F07FC}">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03" dT="2026-09-03T14:29:47.87" personId="{96DB4F4D-DEE8-4A29-92F0-851276145DD3}" id="{FFCD5E13-12FD-465E-A67E-6E489197771F}" parentId="{281D7D16-5854-419E-AC81-C8410F5F07FC}">
    <text>NB: Codes need to be the same as the pig vision mortality codes</text>
  </threadedComment>
  <threadedComment ref="AL104" dT="2026-09-03T14:28:28.15" personId="{96DB4F4D-DEE8-4A29-92F0-851276145DD3}" id="{EAD4EB26-165C-4FA4-BB15-223ACF7850DF}">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04" dT="2026-09-03T14:29:47.87" personId="{96DB4F4D-DEE8-4A29-92F0-851276145DD3}" id="{0C781D5D-EF07-4636-B06F-872C84EEC32F}" parentId="{EAD4EB26-165C-4FA4-BB15-223ACF7850DF}">
    <text>NB: Codes need to be the same as the pig vision mortality codes</text>
  </threadedComment>
  <threadedComment ref="AL105" dT="2026-09-03T14:28:28.15" personId="{96DB4F4D-DEE8-4A29-92F0-851276145DD3}" id="{98942C8F-3A37-42B5-961B-0886E394A825}">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05" dT="2026-09-03T14:29:47.87" personId="{96DB4F4D-DEE8-4A29-92F0-851276145DD3}" id="{0BB0DCF4-5A97-4D33-8885-FD939846B16A}" parentId="{98942C8F-3A37-42B5-961B-0886E394A825}">
    <text>NB: Codes need to be the same as the pig vision mortality codes</text>
  </threadedComment>
  <threadedComment ref="AL106" dT="2026-09-03T14:28:28.15" personId="{96DB4F4D-DEE8-4A29-92F0-851276145DD3}" id="{55DE47A6-4FA4-45E4-8A98-3BC4620CBE95}">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06" dT="2026-09-03T14:29:47.87" personId="{96DB4F4D-DEE8-4A29-92F0-851276145DD3}" id="{25AD7CA3-A324-4D83-A428-DF6D0E6A53C1}" parentId="{55DE47A6-4FA4-45E4-8A98-3BC4620CBE95}">
    <text>NB: Codes need to be the same as the pig vision mortality codes</text>
  </threadedComment>
  <threadedComment ref="AL107" dT="2026-09-03T14:28:28.15" personId="{96DB4F4D-DEE8-4A29-92F0-851276145DD3}" id="{8F48001D-CCA9-43EF-A52F-A13E83597177}">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07" dT="2026-09-03T14:29:47.87" personId="{96DB4F4D-DEE8-4A29-92F0-851276145DD3}" id="{90A8D3AB-A4A5-4F3E-840C-A8678328EDA9}" parentId="{8F48001D-CCA9-43EF-A52F-A13E83597177}">
    <text>NB: Codes need to be the same as the pig vision mortality codes</text>
  </threadedComment>
  <threadedComment ref="AL108" dT="2026-09-03T14:28:28.15" personId="{96DB4F4D-DEE8-4A29-92F0-851276145DD3}" id="{763C1461-DBCA-4DDA-8780-12B428A41BE6}">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08" dT="2026-09-03T14:29:47.87" personId="{96DB4F4D-DEE8-4A29-92F0-851276145DD3}" id="{3F11F2AF-5814-418A-B8EF-65D902116873}" parentId="{763C1461-DBCA-4DDA-8780-12B428A41BE6}">
    <text>NB: Codes need to be the same as the pig vision mortality codes</text>
  </threadedComment>
  <threadedComment ref="AL109" dT="2026-09-03T14:28:28.15" personId="{96DB4F4D-DEE8-4A29-92F0-851276145DD3}" id="{97EEF62E-944F-41C8-8C3F-61F0D14208C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09" dT="2026-09-03T14:29:47.87" personId="{96DB4F4D-DEE8-4A29-92F0-851276145DD3}" id="{1CDEB49A-EE17-4B82-897C-4B2473313DE2}" parentId="{97EEF62E-944F-41C8-8C3F-61F0D14208C3}">
    <text>NB: Codes need to be the same as the pig vision mortality codes</text>
  </threadedComment>
  <threadedComment ref="AL110" dT="2026-09-03T14:28:28.15" personId="{96DB4F4D-DEE8-4A29-92F0-851276145DD3}" id="{77E1F520-0ACF-496A-9D6D-2D987123A6FD}">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10" dT="2026-09-03T14:29:47.87" personId="{96DB4F4D-DEE8-4A29-92F0-851276145DD3}" id="{78FD9100-315E-4416-BC1E-9C7EDD0241CF}" parentId="{77E1F520-0ACF-496A-9D6D-2D987123A6FD}">
    <text>NB: Codes need to be the same as the pig vision mortality codes</text>
  </threadedComment>
  <threadedComment ref="AL111" dT="2026-09-03T14:28:28.15" personId="{96DB4F4D-DEE8-4A29-92F0-851276145DD3}" id="{48FDB245-C99E-4948-827C-7BDD4C504652}">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11" dT="2026-09-03T14:29:47.87" personId="{96DB4F4D-DEE8-4A29-92F0-851276145DD3}" id="{7D5E61E3-E49A-4551-A9CE-63C88B4FB933}" parentId="{48FDB245-C99E-4948-827C-7BDD4C504652}">
    <text>NB: Codes need to be the same as the pig vision mortality codes</text>
  </threadedComment>
  <threadedComment ref="AL112" dT="2026-09-03T14:28:28.15" personId="{96DB4F4D-DEE8-4A29-92F0-851276145DD3}" id="{FA0C1089-3025-43E3-96EF-AB35866CE9CC}">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12" dT="2026-09-03T14:29:47.87" personId="{96DB4F4D-DEE8-4A29-92F0-851276145DD3}" id="{22E194D9-1A11-4C34-A5DB-95901171AAA3}" parentId="{FA0C1089-3025-43E3-96EF-AB35866CE9CC}">
    <text>NB: Codes need to be the same as the pig vision mortality codes</text>
  </threadedComment>
  <threadedComment ref="AL113" dT="2026-09-03T14:28:28.15" personId="{96DB4F4D-DEE8-4A29-92F0-851276145DD3}" id="{9E7344AA-B632-47F2-9616-3DFCFED64384}">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13" dT="2026-09-03T14:29:47.87" personId="{96DB4F4D-DEE8-4A29-92F0-851276145DD3}" id="{B5E34D17-6D7D-4328-991C-3C5011C7B680}" parentId="{9E7344AA-B632-47F2-9616-3DFCFED64384}">
    <text>NB: Codes need to be the same as the pig vision mortality codes</text>
  </threadedComment>
  <threadedComment ref="AL114" dT="2026-09-03T14:28:28.15" personId="{96DB4F4D-DEE8-4A29-92F0-851276145DD3}" id="{D5A9FB27-1F57-425C-B453-D7C2B0DB6A7A}">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14" dT="2026-09-03T14:29:47.87" personId="{96DB4F4D-DEE8-4A29-92F0-851276145DD3}" id="{26776D03-8DC5-4A55-927E-9D1D7FF0190E}" parentId="{D5A9FB27-1F57-425C-B453-D7C2B0DB6A7A}">
    <text>NB: Codes need to be the same as the pig vision mortality codes</text>
  </threadedComment>
  <threadedComment ref="AL115" dT="2026-09-03T14:28:28.15" personId="{96DB4F4D-DEE8-4A29-92F0-851276145DD3}" id="{7861BFE2-4F7F-411C-987D-CEA7872D917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15" dT="2026-09-03T14:29:47.87" personId="{96DB4F4D-DEE8-4A29-92F0-851276145DD3}" id="{A8538676-CDAC-4697-A5AD-10C3EEE71414}" parentId="{7861BFE2-4F7F-411C-987D-CEA7872D9173}">
    <text>NB: Codes need to be the same as the pig vision mortality codes</text>
  </threadedComment>
  <threadedComment ref="AL116" dT="2026-09-03T14:28:28.15" personId="{96DB4F4D-DEE8-4A29-92F0-851276145DD3}" id="{F4D574AB-9A3B-4885-A2C8-E7E0996F65A9}">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16" dT="2026-09-03T14:29:47.87" personId="{96DB4F4D-DEE8-4A29-92F0-851276145DD3}" id="{CE8C42C4-C157-431B-9E40-DBB4DC28DCB5}" parentId="{F4D574AB-9A3B-4885-A2C8-E7E0996F65A9}">
    <text>NB: Codes need to be the same as the pig vision mortality codes</text>
  </threadedComment>
  <threadedComment ref="AL117" dT="2026-09-03T14:28:28.15" personId="{96DB4F4D-DEE8-4A29-92F0-851276145DD3}" id="{48748C83-DE9C-4C5B-BB65-7D382065EAFC}">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17" dT="2026-09-03T14:29:47.87" personId="{96DB4F4D-DEE8-4A29-92F0-851276145DD3}" id="{5949F823-171C-443D-9F73-DF6BDF9307C8}" parentId="{48748C83-DE9C-4C5B-BB65-7D382065EAFC}">
    <text>NB: Codes need to be the same as the pig vision mortality codes</text>
  </threadedComment>
  <threadedComment ref="AL118" dT="2026-09-03T14:28:28.15" personId="{96DB4F4D-DEE8-4A29-92F0-851276145DD3}" id="{9005FF2A-0933-403F-93C9-FCC337C27894}">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18" dT="2026-09-03T14:29:47.87" personId="{96DB4F4D-DEE8-4A29-92F0-851276145DD3}" id="{9472F3CF-2725-4A0C-9E70-86025C8116D5}" parentId="{9005FF2A-0933-403F-93C9-FCC337C27894}">
    <text>NB: Codes need to be the same as the pig vision mortality codes</text>
  </threadedComment>
  <threadedComment ref="AL119" dT="2026-09-03T14:28:28.15" personId="{96DB4F4D-DEE8-4A29-92F0-851276145DD3}" id="{F44D4F10-F440-4C85-B7FB-E002B7EE2929}">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19" dT="2026-09-03T14:29:47.87" personId="{96DB4F4D-DEE8-4A29-92F0-851276145DD3}" id="{4C8B1DCF-8A25-4652-9621-C24584BEDB72}" parentId="{F44D4F10-F440-4C85-B7FB-E002B7EE2929}">
    <text>NB: Codes need to be the same as the pig vision mortality codes</text>
  </threadedComment>
  <threadedComment ref="AL120" dT="2026-09-03T14:28:28.15" personId="{96DB4F4D-DEE8-4A29-92F0-851276145DD3}" id="{C5189448-43FA-4C09-B338-A9B8E3B70A5D}">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20" dT="2026-09-03T14:29:47.87" personId="{96DB4F4D-DEE8-4A29-92F0-851276145DD3}" id="{8E9A07E9-8035-49E0-8F29-66FAEEA099C6}" parentId="{C5189448-43FA-4C09-B338-A9B8E3B70A5D}">
    <text>NB: Codes need to be the same as the pig vision mortality codes</text>
  </threadedComment>
  <threadedComment ref="AL121" dT="2026-09-03T14:28:28.15" personId="{96DB4F4D-DEE8-4A29-92F0-851276145DD3}" id="{35E214F1-581A-4D65-ACE5-7CF59C85F855}">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21" dT="2026-09-03T14:29:47.87" personId="{96DB4F4D-DEE8-4A29-92F0-851276145DD3}" id="{5871421C-2954-44CD-90F3-508228164140}" parentId="{35E214F1-581A-4D65-ACE5-7CF59C85F855}">
    <text>NB: Codes need to be the same as the pig vision mortality codes</text>
  </threadedComment>
  <threadedComment ref="AL122" dT="2026-09-03T14:28:28.15" personId="{96DB4F4D-DEE8-4A29-92F0-851276145DD3}" id="{B6D5A89B-80BB-4958-B6C4-2CA58C6D39F3}">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22" dT="2026-09-03T14:29:47.87" personId="{96DB4F4D-DEE8-4A29-92F0-851276145DD3}" id="{628D9239-9A29-45A8-AA8E-A5EEEEEF8611}" parentId="{B6D5A89B-80BB-4958-B6C4-2CA58C6D39F3}">
    <text>NB: Codes need to be the same as the pig vision mortality codes</text>
  </threadedComment>
  <threadedComment ref="AL123" dT="2026-09-03T14:28:28.15" personId="{96DB4F4D-DEE8-4A29-92F0-851276145DD3}" id="{39F81900-DD27-48D0-B184-1DD126DE33B0}">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23" dT="2026-09-03T14:29:47.87" personId="{96DB4F4D-DEE8-4A29-92F0-851276145DD3}" id="{A1E4C80F-3576-4A23-AF90-370955055F00}" parentId="{39F81900-DD27-48D0-B184-1DD126DE33B0}">
    <text>NB: Codes need to be the same as the pig vision mortality codes</text>
  </threadedComment>
  <threadedComment ref="AL124" dT="2026-09-03T14:28:28.15" personId="{96DB4F4D-DEE8-4A29-92F0-851276145DD3}" id="{BAC99D47-8CFD-4EAF-90CC-30DCAB31B0EA}">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24" dT="2026-09-03T14:29:47.87" personId="{96DB4F4D-DEE8-4A29-92F0-851276145DD3}" id="{2493545B-FB27-4AF7-9D9C-0333858F70D0}" parentId="{BAC99D47-8CFD-4EAF-90CC-30DCAB31B0EA}">
    <text>NB: Codes need to be the same as the pig vision mortality codes</text>
  </threadedComment>
  <threadedComment ref="AL125" dT="2026-09-03T14:28:28.15" personId="{96DB4F4D-DEE8-4A29-92F0-851276145DD3}" id="{BA79721A-4226-4404-BD73-D530CDB8F209}">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25" dT="2026-09-03T14:29:47.87" personId="{96DB4F4D-DEE8-4A29-92F0-851276145DD3}" id="{553B036C-FE11-41E5-A7B5-87B718C9D9CA}" parentId="{BA79721A-4226-4404-BD73-D530CDB8F209}">
    <text>NB: Codes need to be the same as the pig vision mortality codes</text>
  </threadedComment>
  <threadedComment ref="AL126" dT="2026-09-03T14:28:28.15" personId="{96DB4F4D-DEE8-4A29-92F0-851276145DD3}" id="{55DD625A-1C1B-4D5D-8AAA-1AF2A6CC5F26}">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26" dT="2026-09-03T14:29:47.87" personId="{96DB4F4D-DEE8-4A29-92F0-851276145DD3}" id="{C6A5F7DB-E5F9-47DD-B994-6029CB677F55}" parentId="{55DD625A-1C1B-4D5D-8AAA-1AF2A6CC5F26}">
    <text>NB: Codes need to be the same as the pig vision mortality codes</text>
  </threadedComment>
  <threadedComment ref="AL127" dT="2026-09-03T14:28:28.15" personId="{96DB4F4D-DEE8-4A29-92F0-851276145DD3}" id="{306FAB6A-858E-46AE-BDAD-D470D33BAB91}">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27" dT="2026-09-03T14:29:47.87" personId="{96DB4F4D-DEE8-4A29-92F0-851276145DD3}" id="{6825AD12-69CC-44E3-AA99-6C952D4C5E1C}" parentId="{306FAB6A-858E-46AE-BDAD-D470D33BAB91}">
    <text>NB: Codes need to be the same as the pig vision mortality codes</text>
  </threadedComment>
  <threadedComment ref="AL128" dT="2026-09-03T14:28:28.15" personId="{96DB4F4D-DEE8-4A29-92F0-851276145DD3}" id="{7EF7EEA1-4A73-493D-827E-01BD4F2713A9}">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28" dT="2026-09-03T14:29:47.87" personId="{96DB4F4D-DEE8-4A29-92F0-851276145DD3}" id="{6F445A43-2161-4F93-82EB-5917142602F5}" parentId="{7EF7EEA1-4A73-493D-827E-01BD4F2713A9}">
    <text>NB: Codes need to be the same as the pig vision mortality codes</text>
  </threadedComment>
  <threadedComment ref="AL129" dT="2026-09-03T14:28:28.15" personId="{96DB4F4D-DEE8-4A29-92F0-851276145DD3}" id="{68CC0C72-1FFE-4434-BB44-A091CBBF0DE7}">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29" dT="2026-09-03T14:29:47.87" personId="{96DB4F4D-DEE8-4A29-92F0-851276145DD3}" id="{47E6C82E-A783-4B73-911E-3D46A2077E36}" parentId="{68CC0C72-1FFE-4434-BB44-A091CBBF0DE7}">
    <text>NB: Codes need to be the same as the pig vision mortality codes</text>
  </threadedComment>
  <threadedComment ref="AL130" dT="2026-09-03T14:28:28.15" personId="{96DB4F4D-DEE8-4A29-92F0-851276145DD3}" id="{33E9F439-846C-40C5-AEB2-CF8CE2E5B94A}">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130" dT="2026-09-03T14:29:47.87" personId="{96DB4F4D-DEE8-4A29-92F0-851276145DD3}" id="{F6F776C6-9B36-4C48-B5FE-282B8B7BE990}" parentId="{33E9F439-846C-40C5-AEB2-CF8CE2E5B94A}">
    <text>NB: Codes need to be the same as the pig vision mortality codes</text>
  </threadedComment>
  <threadedComment ref="AE132" dT="2026-09-04T05:49:43.48" personId="{96DB4F4D-DEE8-4A29-92F0-851276145DD3}" id="{25575579-9F3C-47B8-9DBA-3D2AE8CAC7FD}">
    <text>Avg birth weight of piglets born from gilts - will not always be measured but sometimes we require this so we need an option</text>
  </threadedComment>
  <threadedComment ref="AE132" dT="2026-09-04T07:05:06.05" personId="{96DB4F4D-DEE8-4A29-92F0-851276145DD3}" id="{437EF6A4-5C7F-44DD-96CF-E829D4478AD8}" parentId="{25575579-9F3C-47B8-9DBA-3D2AE8CAC7FD}">
    <text xml:space="preserve">Target birth weight is 1.3kgs </text>
  </threadedComment>
  <threadedComment ref="AL132" dT="2026-09-04T05:38:42.84" personId="{96DB4F4D-DEE8-4A29-92F0-851276145DD3}" id="{CB847B1F-CB3F-47CB-A8E0-23835BE1F0EF}">
    <text>Not to be confused with piglet mortality under the sow. This is the 2nd parity mortality - if more than 2 2nd parity mortality's recorded in a batch there needs to be an alert. Mortality codes to link with pig expert, also drop down for reasons needed for independent analysis</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
  <sheetViews>
    <sheetView topLeftCell="A2" zoomScaleNormal="100" workbookViewId="0">
      <pane xSplit="3" ySplit="4" topLeftCell="AK6" activePane="bottomRight" state="frozen"/>
      <selection activeCell="A2" sqref="A2"/>
      <selection pane="topRight" activeCell="D2" sqref="D2"/>
      <selection pane="bottomLeft" activeCell="A5" sqref="A5"/>
      <selection pane="bottomRight" activeCell="AM2" sqref="AM1:AN1048576"/>
    </sheetView>
  </sheetViews>
  <sheetFormatPr defaultColWidth="23.5546875" defaultRowHeight="15" customHeight="1" x14ac:dyDescent="0.3"/>
  <cols>
    <col min="1" max="1" width="10.88671875" bestFit="1" customWidth="1"/>
    <col min="2" max="2" width="17.109375" customWidth="1"/>
    <col min="3" max="3" width="13.6640625" customWidth="1"/>
    <col min="4" max="4" width="18.33203125" customWidth="1"/>
    <col min="5" max="5" width="19" customWidth="1"/>
    <col min="6" max="6" width="14.109375" customWidth="1"/>
    <col min="7" max="10" width="14.6640625" customWidth="1"/>
    <col min="11" max="11" width="19.109375" customWidth="1"/>
    <col min="12" max="12" width="13.44140625" customWidth="1"/>
    <col min="13" max="15" width="12.5546875" customWidth="1"/>
    <col min="16" max="16" width="16.88671875" customWidth="1"/>
    <col min="17" max="17" width="13.6640625" customWidth="1"/>
    <col min="18" max="18" width="20.88671875" customWidth="1"/>
    <col min="19" max="19" width="13.33203125" customWidth="1"/>
    <col min="20" max="20" width="17.109375" customWidth="1"/>
    <col min="21" max="21" width="15.88671875" customWidth="1"/>
    <col min="22" max="22" width="14.88671875" customWidth="1"/>
    <col min="23" max="32" width="22.44140625" customWidth="1"/>
    <col min="33" max="33" width="19.109375" bestFit="1" customWidth="1"/>
    <col min="34" max="34" width="35.33203125" customWidth="1"/>
    <col min="35" max="35" width="33.44140625" customWidth="1"/>
    <col min="36" max="36" width="38.33203125" customWidth="1"/>
    <col min="37" max="37" width="29.33203125" customWidth="1"/>
    <col min="38" max="38" width="39" customWidth="1"/>
    <col min="39" max="39" width="8.44140625" bestFit="1" customWidth="1"/>
  </cols>
  <sheetData>
    <row r="1" spans="1:39" ht="24" x14ac:dyDescent="0.3">
      <c r="A1" s="19" t="s">
        <v>0</v>
      </c>
      <c r="B1" s="12" t="s">
        <v>1</v>
      </c>
      <c r="C1" s="13" t="s">
        <v>2</v>
      </c>
      <c r="D1" s="12" t="s">
        <v>3</v>
      </c>
      <c r="E1" s="13" t="s">
        <v>4</v>
      </c>
      <c r="F1" s="12" t="s">
        <v>5</v>
      </c>
      <c r="G1" s="13" t="s">
        <v>6</v>
      </c>
      <c r="H1" s="21" t="s">
        <v>7</v>
      </c>
      <c r="I1" s="13" t="s">
        <v>8</v>
      </c>
      <c r="J1" s="13" t="s">
        <v>128</v>
      </c>
      <c r="K1" s="24" t="s">
        <v>170</v>
      </c>
      <c r="L1" s="12" t="s">
        <v>9</v>
      </c>
      <c r="M1" s="24" t="s">
        <v>171</v>
      </c>
      <c r="N1" s="24" t="s">
        <v>172</v>
      </c>
      <c r="O1" s="24" t="s">
        <v>175</v>
      </c>
      <c r="P1" s="13" t="s">
        <v>10</v>
      </c>
      <c r="Q1" s="12" t="s">
        <v>11</v>
      </c>
      <c r="R1" s="24" t="s">
        <v>177</v>
      </c>
      <c r="S1" s="13" t="s">
        <v>12</v>
      </c>
      <c r="T1" s="12" t="s">
        <v>13</v>
      </c>
      <c r="U1" s="24" t="s">
        <v>178</v>
      </c>
      <c r="V1" s="24" t="s">
        <v>179</v>
      </c>
      <c r="W1" s="24" t="s">
        <v>181</v>
      </c>
      <c r="X1" s="24" t="s">
        <v>182</v>
      </c>
      <c r="Y1" s="24" t="s">
        <v>183</v>
      </c>
      <c r="Z1" s="24" t="s">
        <v>184</v>
      </c>
      <c r="AA1" s="24" t="s">
        <v>185</v>
      </c>
      <c r="AB1" s="24" t="s">
        <v>186</v>
      </c>
      <c r="AC1" s="24" t="s">
        <v>187</v>
      </c>
      <c r="AD1" s="24" t="s">
        <v>188</v>
      </c>
      <c r="AE1" s="24" t="s">
        <v>190</v>
      </c>
      <c r="AF1" s="24" t="s">
        <v>189</v>
      </c>
      <c r="AG1" s="13" t="s">
        <v>14</v>
      </c>
      <c r="AH1" s="12" t="s">
        <v>15</v>
      </c>
      <c r="AI1" s="24" t="s">
        <v>15</v>
      </c>
      <c r="AJ1" s="24" t="s">
        <v>15</v>
      </c>
      <c r="AK1" s="24" t="s">
        <v>15</v>
      </c>
      <c r="AL1" s="24" t="s">
        <v>15</v>
      </c>
      <c r="AM1" s="12" t="s">
        <v>16</v>
      </c>
    </row>
    <row r="2" spans="1:39" ht="24" x14ac:dyDescent="0.3">
      <c r="A2" s="19" t="s">
        <v>0</v>
      </c>
      <c r="B2" s="12" t="s">
        <v>1</v>
      </c>
      <c r="C2" s="13" t="s">
        <v>2</v>
      </c>
      <c r="D2" s="12" t="s">
        <v>3</v>
      </c>
      <c r="E2" s="13" t="s">
        <v>4</v>
      </c>
      <c r="F2" s="12" t="s">
        <v>5</v>
      </c>
      <c r="G2" s="13" t="s">
        <v>6</v>
      </c>
      <c r="H2" s="21" t="s">
        <v>7</v>
      </c>
      <c r="I2" s="13" t="s">
        <v>8</v>
      </c>
      <c r="J2" s="13" t="s">
        <v>128</v>
      </c>
      <c r="K2" s="24" t="s">
        <v>170</v>
      </c>
      <c r="L2" s="12" t="s">
        <v>9</v>
      </c>
      <c r="M2" s="24" t="s">
        <v>171</v>
      </c>
      <c r="N2" s="24" t="s">
        <v>172</v>
      </c>
      <c r="O2" s="24" t="s">
        <v>175</v>
      </c>
      <c r="P2" s="13" t="s">
        <v>10</v>
      </c>
      <c r="Q2" s="12" t="s">
        <v>11</v>
      </c>
      <c r="R2" s="24" t="s">
        <v>177</v>
      </c>
      <c r="S2" s="13" t="s">
        <v>12</v>
      </c>
      <c r="T2" s="12" t="s">
        <v>13</v>
      </c>
      <c r="U2" s="24" t="s">
        <v>178</v>
      </c>
      <c r="V2" s="24" t="s">
        <v>179</v>
      </c>
      <c r="W2" s="24" t="s">
        <v>181</v>
      </c>
      <c r="X2" s="24" t="s">
        <v>182</v>
      </c>
      <c r="Y2" s="24" t="s">
        <v>183</v>
      </c>
      <c r="Z2" s="24" t="s">
        <v>184</v>
      </c>
      <c r="AA2" s="24" t="s">
        <v>185</v>
      </c>
      <c r="AB2" s="24" t="s">
        <v>186</v>
      </c>
      <c r="AC2" s="24" t="s">
        <v>187</v>
      </c>
      <c r="AD2" s="24" t="s">
        <v>188</v>
      </c>
      <c r="AE2" s="24" t="s">
        <v>190</v>
      </c>
      <c r="AF2" s="24" t="s">
        <v>189</v>
      </c>
      <c r="AG2" s="13" t="s">
        <v>14</v>
      </c>
      <c r="AH2" s="12" t="s">
        <v>15</v>
      </c>
      <c r="AI2" s="24" t="s">
        <v>15</v>
      </c>
      <c r="AJ2" s="24" t="s">
        <v>15</v>
      </c>
      <c r="AK2" s="24" t="s">
        <v>15</v>
      </c>
      <c r="AL2" s="24" t="s">
        <v>15</v>
      </c>
      <c r="AM2" s="12" t="s">
        <v>16</v>
      </c>
    </row>
    <row r="3" spans="1:39" ht="60" x14ac:dyDescent="0.3">
      <c r="A3" s="19" t="s">
        <v>17</v>
      </c>
      <c r="B3" s="3" t="s">
        <v>18</v>
      </c>
      <c r="C3" s="4" t="s">
        <v>19</v>
      </c>
      <c r="D3" s="3" t="s">
        <v>20</v>
      </c>
      <c r="E3" s="4" t="s">
        <v>21</v>
      </c>
      <c r="F3" s="3" t="s">
        <v>22</v>
      </c>
      <c r="G3" s="4" t="s">
        <v>23</v>
      </c>
      <c r="H3" s="20" t="s">
        <v>24</v>
      </c>
      <c r="I3" s="4" t="s">
        <v>25</v>
      </c>
      <c r="J3" s="4"/>
      <c r="K3" s="25" t="s">
        <v>174</v>
      </c>
      <c r="L3" s="3" t="s">
        <v>26</v>
      </c>
      <c r="M3" s="25" t="s">
        <v>173</v>
      </c>
      <c r="N3" s="25" t="s">
        <v>216</v>
      </c>
      <c r="O3" s="25" t="s">
        <v>176</v>
      </c>
      <c r="P3" s="4" t="s">
        <v>27</v>
      </c>
      <c r="Q3" s="3" t="s">
        <v>28</v>
      </c>
      <c r="R3" s="25"/>
      <c r="S3" s="4" t="s">
        <v>29</v>
      </c>
      <c r="T3" s="3" t="s">
        <v>30</v>
      </c>
      <c r="U3" s="25" t="s">
        <v>212</v>
      </c>
      <c r="V3" s="25" t="s">
        <v>180</v>
      </c>
      <c r="W3" s="25" t="s">
        <v>180</v>
      </c>
      <c r="X3" s="25" t="s">
        <v>180</v>
      </c>
      <c r="Y3" s="25"/>
      <c r="Z3" s="25"/>
      <c r="AA3" s="25"/>
      <c r="AB3" s="25"/>
      <c r="AC3" s="25"/>
      <c r="AD3" s="25"/>
      <c r="AE3" s="25"/>
      <c r="AF3" s="25"/>
      <c r="AG3" s="4" t="s">
        <v>31</v>
      </c>
      <c r="AH3" s="3" t="s">
        <v>32</v>
      </c>
      <c r="AI3" s="25" t="s">
        <v>32</v>
      </c>
      <c r="AJ3" s="25" t="s">
        <v>32</v>
      </c>
      <c r="AK3" s="25" t="s">
        <v>32</v>
      </c>
      <c r="AL3" s="25" t="s">
        <v>32</v>
      </c>
      <c r="AM3" s="3" t="s">
        <v>33</v>
      </c>
    </row>
    <row r="4" spans="1:39" ht="24" x14ac:dyDescent="0.3">
      <c r="A4" s="19" t="s">
        <v>34</v>
      </c>
      <c r="B4" s="3" t="s">
        <v>35</v>
      </c>
      <c r="C4" s="4" t="s">
        <v>36</v>
      </c>
      <c r="D4" s="11" t="s">
        <v>37</v>
      </c>
      <c r="E4" s="10" t="s">
        <v>38</v>
      </c>
      <c r="F4" s="11" t="s">
        <v>39</v>
      </c>
      <c r="G4" s="10" t="s">
        <v>40</v>
      </c>
      <c r="H4" s="22" t="s">
        <v>41</v>
      </c>
      <c r="I4" s="4" t="s">
        <v>42</v>
      </c>
      <c r="J4" s="4"/>
      <c r="K4" s="25"/>
      <c r="L4" s="3" t="s">
        <v>43</v>
      </c>
      <c r="M4" s="25"/>
      <c r="N4" s="25"/>
      <c r="O4" s="25"/>
      <c r="P4" s="4" t="s">
        <v>41</v>
      </c>
      <c r="Q4" s="3" t="s">
        <v>44</v>
      </c>
      <c r="R4" s="25"/>
      <c r="S4" s="4" t="s">
        <v>45</v>
      </c>
      <c r="T4" s="3" t="s">
        <v>46</v>
      </c>
      <c r="U4" s="25"/>
      <c r="V4" s="25"/>
      <c r="W4" s="25"/>
      <c r="X4" s="25"/>
      <c r="Y4" s="25"/>
      <c r="Z4" s="25"/>
      <c r="AA4" s="25"/>
      <c r="AB4" s="25"/>
      <c r="AC4" s="25"/>
      <c r="AD4" s="25"/>
      <c r="AE4" s="25"/>
      <c r="AF4" s="25"/>
      <c r="AG4" s="4">
        <v>18</v>
      </c>
      <c r="AH4" s="3" t="s">
        <v>47</v>
      </c>
      <c r="AI4" s="25" t="s">
        <v>47</v>
      </c>
      <c r="AJ4" s="25" t="s">
        <v>47</v>
      </c>
      <c r="AK4" s="25" t="s">
        <v>47</v>
      </c>
      <c r="AL4" s="25" t="s">
        <v>47</v>
      </c>
      <c r="AM4" s="3" t="b">
        <v>0</v>
      </c>
    </row>
    <row r="5" spans="1:39" ht="14.4" x14ac:dyDescent="0.3">
      <c r="A5" s="19" t="s">
        <v>48</v>
      </c>
      <c r="B5" s="8" t="s">
        <v>49</v>
      </c>
      <c r="C5" s="9" t="s">
        <v>49</v>
      </c>
      <c r="D5" s="8" t="s">
        <v>49</v>
      </c>
      <c r="E5" s="10" t="s">
        <v>50</v>
      </c>
      <c r="F5" s="11" t="s">
        <v>50</v>
      </c>
      <c r="G5" s="10" t="s">
        <v>50</v>
      </c>
      <c r="H5" s="22" t="s">
        <v>50</v>
      </c>
      <c r="I5" s="10" t="s">
        <v>50</v>
      </c>
      <c r="J5" s="10"/>
      <c r="K5" s="26"/>
      <c r="L5" s="11" t="s">
        <v>50</v>
      </c>
      <c r="M5" s="26"/>
      <c r="N5" s="26"/>
      <c r="O5" s="26"/>
      <c r="P5" s="10" t="s">
        <v>50</v>
      </c>
      <c r="Q5" s="11" t="s">
        <v>50</v>
      </c>
      <c r="R5" s="26"/>
      <c r="S5" s="10" t="s">
        <v>50</v>
      </c>
      <c r="T5" s="11" t="s">
        <v>51</v>
      </c>
      <c r="U5" s="26"/>
      <c r="V5" s="26"/>
      <c r="W5" s="26"/>
      <c r="X5" s="26"/>
      <c r="Y5" s="26"/>
      <c r="Z5" s="26"/>
      <c r="AA5" s="26"/>
      <c r="AB5" s="26"/>
      <c r="AC5" s="26"/>
      <c r="AD5" s="26"/>
      <c r="AE5" s="26"/>
      <c r="AF5" s="26"/>
      <c r="AG5" s="10" t="s">
        <v>51</v>
      </c>
      <c r="AH5" s="11" t="s">
        <v>50</v>
      </c>
      <c r="AI5" s="26" t="s">
        <v>50</v>
      </c>
      <c r="AJ5" s="26" t="s">
        <v>50</v>
      </c>
      <c r="AK5" s="26" t="s">
        <v>50</v>
      </c>
      <c r="AL5" s="26" t="s">
        <v>50</v>
      </c>
      <c r="AM5" s="8" t="s">
        <v>49</v>
      </c>
    </row>
    <row r="6" spans="1:39" ht="15" customHeight="1" x14ac:dyDescent="0.3">
      <c r="E6" s="31"/>
      <c r="F6" s="31"/>
      <c r="G6" s="31"/>
      <c r="H6" s="31"/>
      <c r="S6" s="23"/>
    </row>
    <row r="7" spans="1:39" ht="31.5" customHeight="1" x14ac:dyDescent="0.3">
      <c r="B7" t="s">
        <v>126</v>
      </c>
      <c r="C7" t="s">
        <v>126</v>
      </c>
      <c r="E7" s="31">
        <v>116</v>
      </c>
      <c r="F7" s="31">
        <v>28</v>
      </c>
      <c r="G7" s="31" t="s">
        <v>127</v>
      </c>
      <c r="H7" s="31" t="s">
        <v>337</v>
      </c>
      <c r="I7">
        <v>8</v>
      </c>
      <c r="J7" t="s">
        <v>749</v>
      </c>
      <c r="K7" s="197">
        <v>16.100000000000001</v>
      </c>
      <c r="L7" s="197">
        <v>15</v>
      </c>
      <c r="M7" s="197">
        <v>0.8</v>
      </c>
      <c r="N7" s="197">
        <v>0.3</v>
      </c>
      <c r="O7" s="32">
        <v>7.4999999999999997E-2</v>
      </c>
      <c r="P7" s="380">
        <v>13.9</v>
      </c>
      <c r="Q7" s="31">
        <v>7.2</v>
      </c>
      <c r="R7" s="381">
        <v>104</v>
      </c>
      <c r="S7" s="33">
        <v>0.92</v>
      </c>
      <c r="T7" s="31">
        <v>159</v>
      </c>
      <c r="U7" s="31">
        <v>3</v>
      </c>
      <c r="V7" s="381">
        <v>33.6</v>
      </c>
      <c r="W7">
        <v>2.42</v>
      </c>
      <c r="X7">
        <v>18</v>
      </c>
      <c r="Y7">
        <v>28</v>
      </c>
      <c r="Z7">
        <v>21</v>
      </c>
      <c r="AA7">
        <v>1.45</v>
      </c>
      <c r="AB7" s="23">
        <v>5.0000000000000001E-3</v>
      </c>
      <c r="AC7">
        <v>2.4</v>
      </c>
      <c r="AD7" s="23">
        <v>1.6E-2</v>
      </c>
      <c r="AE7">
        <f>+[1]Sheet1!$E$95</f>
        <v>1.1000000000000001</v>
      </c>
      <c r="AF7">
        <f>+[1]Sheet1!$E$98</f>
        <v>94</v>
      </c>
      <c r="AG7">
        <v>29</v>
      </c>
      <c r="AH7" s="34" t="s">
        <v>755</v>
      </c>
      <c r="AI7" s="34" t="s">
        <v>338</v>
      </c>
      <c r="AJ7" s="34" t="s">
        <v>129</v>
      </c>
      <c r="AK7" s="34" t="s">
        <v>756</v>
      </c>
      <c r="AL7" s="34" t="s">
        <v>757</v>
      </c>
    </row>
    <row r="8" spans="1:39" ht="15" customHeight="1" x14ac:dyDescent="0.3">
      <c r="C8" t="s">
        <v>566</v>
      </c>
      <c r="H8" s="31"/>
      <c r="S8" s="23"/>
      <c r="T8" s="31"/>
      <c r="AH8" s="34"/>
      <c r="AK8" s="34"/>
      <c r="AL8" s="34"/>
    </row>
    <row r="9" spans="1:39" ht="15" customHeight="1" x14ac:dyDescent="0.3">
      <c r="S9" s="23"/>
      <c r="T9" s="31"/>
      <c r="AK9" s="34"/>
      <c r="AL9" s="34"/>
    </row>
    <row r="10" spans="1:39" ht="15" customHeight="1" x14ac:dyDescent="0.3">
      <c r="S10" s="23"/>
      <c r="T10" s="31"/>
      <c r="AK10" s="34"/>
      <c r="AL10" s="34"/>
    </row>
    <row r="11" spans="1:39" ht="15" customHeight="1" x14ac:dyDescent="0.3">
      <c r="S11" s="23"/>
      <c r="T11" s="31"/>
      <c r="AK11" s="34"/>
      <c r="AL11" s="34"/>
    </row>
    <row r="12" spans="1:39" ht="15" customHeight="1" x14ac:dyDescent="0.3">
      <c r="S12" s="23"/>
      <c r="T12" s="31"/>
      <c r="AK12" s="34"/>
      <c r="AL12" s="34"/>
    </row>
    <row r="13" spans="1:39" ht="15" customHeight="1" x14ac:dyDescent="0.3">
      <c r="S13" s="23"/>
      <c r="T13" s="31"/>
      <c r="AK13" s="34"/>
      <c r="AL13" s="34"/>
    </row>
    <row r="14" spans="1:39" ht="15" customHeight="1" x14ac:dyDescent="0.3">
      <c r="S14" s="23"/>
      <c r="T14" s="31"/>
      <c r="AK14" s="34"/>
      <c r="AL14" s="34"/>
    </row>
    <row r="15" spans="1:39" ht="15" customHeight="1" x14ac:dyDescent="0.3">
      <c r="S15" s="23"/>
      <c r="T15" s="31"/>
      <c r="AK15" s="34"/>
      <c r="AL15" s="34"/>
    </row>
    <row r="16" spans="1:39" ht="15" customHeight="1" x14ac:dyDescent="0.3">
      <c r="S16" s="23"/>
      <c r="T16" s="31"/>
      <c r="AK16" s="34"/>
      <c r="AL16" s="34"/>
    </row>
    <row r="17" spans="19:38" ht="15" customHeight="1" x14ac:dyDescent="0.3">
      <c r="S17" s="23"/>
      <c r="T17" s="31"/>
      <c r="AK17" s="34"/>
      <c r="AL17" s="34"/>
    </row>
    <row r="18" spans="19:38" ht="15" customHeight="1" x14ac:dyDescent="0.3">
      <c r="S18" s="23"/>
      <c r="T18" s="31"/>
      <c r="AK18" s="34"/>
      <c r="AL18" s="34"/>
    </row>
    <row r="19" spans="19:38" ht="15" customHeight="1" x14ac:dyDescent="0.3">
      <c r="S19" s="23"/>
      <c r="T19" s="31"/>
      <c r="AK19" s="34"/>
      <c r="AL19" s="34"/>
    </row>
    <row r="20" spans="19:38" ht="15" customHeight="1" x14ac:dyDescent="0.3">
      <c r="S20" s="23"/>
      <c r="T20" s="31"/>
      <c r="AK20" s="34"/>
      <c r="AL20" s="34"/>
    </row>
    <row r="21" spans="19:38" ht="15" customHeight="1" x14ac:dyDescent="0.3">
      <c r="S21" s="23"/>
      <c r="T21" s="31"/>
      <c r="AK21" s="34"/>
      <c r="AL21" s="34"/>
    </row>
    <row r="22" spans="19:38" ht="15" customHeight="1" x14ac:dyDescent="0.3">
      <c r="S22" s="23"/>
      <c r="T22" s="31"/>
      <c r="AK22" s="34"/>
      <c r="AL22" s="34"/>
    </row>
    <row r="23" spans="19:38" ht="15" customHeight="1" x14ac:dyDescent="0.3">
      <c r="S23" s="23"/>
      <c r="T23" s="31"/>
      <c r="AK23" s="34"/>
      <c r="AL23" s="34"/>
    </row>
    <row r="24" spans="19:38" ht="15" customHeight="1" x14ac:dyDescent="0.3">
      <c r="S24" s="23"/>
      <c r="T24" s="31"/>
      <c r="AK24" s="34"/>
      <c r="AL24" s="34"/>
    </row>
    <row r="25" spans="19:38" ht="15" customHeight="1" x14ac:dyDescent="0.3">
      <c r="S25" s="23"/>
      <c r="T25" s="31"/>
      <c r="AK25" s="34"/>
      <c r="AL25" s="34"/>
    </row>
    <row r="26" spans="19:38" ht="15" customHeight="1" x14ac:dyDescent="0.3">
      <c r="S26" s="23"/>
      <c r="T26" s="31"/>
      <c r="AK26" s="34"/>
      <c r="AL26" s="34"/>
    </row>
  </sheetData>
  <phoneticPr fontId="5"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83F7D-EE85-4D48-8087-F1B9927E3C88}">
  <dimension ref="A1:AR101"/>
  <sheetViews>
    <sheetView topLeftCell="D1" zoomScale="80" zoomScaleNormal="80" workbookViewId="0">
      <pane xSplit="2" ySplit="3" topLeftCell="F31" activePane="bottomRight" state="frozen"/>
      <selection activeCell="D1" sqref="D1"/>
      <selection pane="topRight" activeCell="F1" sqref="F1"/>
      <selection pane="bottomLeft" activeCell="D5" sqref="D5"/>
      <selection pane="bottomRight" activeCell="H40" sqref="H40"/>
    </sheetView>
  </sheetViews>
  <sheetFormatPr defaultColWidth="48.109375" defaultRowHeight="15" customHeight="1" x14ac:dyDescent="0.3"/>
  <cols>
    <col min="1" max="1" width="10.88671875" bestFit="1" customWidth="1"/>
    <col min="2" max="2" width="8.88671875" bestFit="1" customWidth="1"/>
    <col min="3" max="3" width="22" bestFit="1" customWidth="1"/>
    <col min="4" max="4" width="8.88671875" bestFit="1" customWidth="1"/>
    <col min="5" max="5" width="46.109375" bestFit="1" customWidth="1"/>
    <col min="6" max="6" width="40.44140625" customWidth="1"/>
    <col min="7" max="7" width="41.88671875" customWidth="1"/>
    <col min="8" max="8" width="31" customWidth="1"/>
    <col min="9" max="9" width="18.109375" customWidth="1"/>
    <col min="10" max="10" width="25.88671875" customWidth="1"/>
    <col min="11" max="11" width="21.33203125" customWidth="1"/>
    <col min="12" max="18" width="18.109375" customWidth="1"/>
    <col min="19" max="19" width="19.5546875" customWidth="1"/>
    <col min="20" max="20" width="71.109375" customWidth="1"/>
    <col min="21" max="21" width="75.88671875" customWidth="1"/>
    <col min="22" max="22" width="34.44140625" customWidth="1"/>
    <col min="23" max="23" width="28.33203125" customWidth="1"/>
    <col min="24" max="24" width="28.44140625" customWidth="1"/>
    <col min="25" max="25" width="47.5546875" customWidth="1"/>
    <col min="26" max="26" width="25.109375" customWidth="1"/>
    <col min="27" max="27" width="71.5546875" customWidth="1"/>
    <col min="28" max="28" width="33.5546875" bestFit="1" customWidth="1"/>
    <col min="29" max="29" width="29.6640625" customWidth="1"/>
    <col min="30" max="30" width="28.109375" customWidth="1"/>
    <col min="31" max="31" width="48.44140625" customWidth="1"/>
    <col min="32" max="32" width="26.33203125" customWidth="1"/>
    <col min="33" max="33" width="24.5546875" customWidth="1"/>
    <col min="34" max="34" width="33.44140625" customWidth="1"/>
    <col min="35" max="35" width="49.33203125" customWidth="1"/>
    <col min="36" max="36" width="54" bestFit="1" customWidth="1"/>
    <col min="37" max="37" width="45.33203125" customWidth="1"/>
    <col min="38" max="38" width="31.88671875" customWidth="1"/>
    <col min="39" max="39" width="18.5546875" customWidth="1"/>
    <col min="40" max="40" width="51.6640625" customWidth="1"/>
    <col min="41" max="41" width="61.44140625" customWidth="1"/>
    <col min="42" max="42" width="28" customWidth="1"/>
    <col min="43" max="43" width="14.44140625" customWidth="1"/>
    <col min="44" max="44" width="11.109375" customWidth="1"/>
  </cols>
  <sheetData>
    <row r="1" spans="1:44" ht="28.5" customHeight="1" x14ac:dyDescent="0.3">
      <c r="A1" s="19" t="s">
        <v>0</v>
      </c>
      <c r="B1" s="16" t="s">
        <v>52</v>
      </c>
      <c r="C1" s="17" t="s">
        <v>53</v>
      </c>
      <c r="D1" s="17" t="s">
        <v>54</v>
      </c>
      <c r="E1" s="12" t="s">
        <v>55</v>
      </c>
      <c r="F1" s="13" t="s">
        <v>56</v>
      </c>
      <c r="G1" s="12" t="s">
        <v>57</v>
      </c>
      <c r="H1" s="13" t="s">
        <v>58</v>
      </c>
      <c r="I1" s="24" t="s">
        <v>158</v>
      </c>
      <c r="J1" s="24" t="s">
        <v>162</v>
      </c>
      <c r="K1" s="24" t="s">
        <v>159</v>
      </c>
      <c r="L1" s="24" t="s">
        <v>160</v>
      </c>
      <c r="M1" s="24" t="s">
        <v>161</v>
      </c>
      <c r="N1" s="24" t="s">
        <v>161</v>
      </c>
      <c r="O1" s="384" t="s">
        <v>584</v>
      </c>
      <c r="P1" s="385"/>
      <c r="Q1" s="385"/>
      <c r="R1" s="385"/>
      <c r="S1" s="386"/>
      <c r="T1" s="17" t="s">
        <v>61</v>
      </c>
      <c r="U1" s="13" t="s">
        <v>62</v>
      </c>
      <c r="V1" s="24" t="s">
        <v>63</v>
      </c>
      <c r="W1" s="13" t="s">
        <v>63</v>
      </c>
      <c r="X1" s="12" t="s">
        <v>64</v>
      </c>
      <c r="Y1" s="13" t="s">
        <v>65</v>
      </c>
      <c r="Z1" s="12" t="s">
        <v>66</v>
      </c>
      <c r="AA1" s="17" t="s">
        <v>67</v>
      </c>
      <c r="AB1" s="17" t="s">
        <v>68</v>
      </c>
      <c r="AC1" s="13" t="s">
        <v>69</v>
      </c>
      <c r="AD1" s="24" t="s">
        <v>68</v>
      </c>
      <c r="AE1" s="24" t="s">
        <v>69</v>
      </c>
      <c r="AF1" s="24" t="s">
        <v>167</v>
      </c>
      <c r="AG1" s="24" t="s">
        <v>582</v>
      </c>
      <c r="AH1" s="24" t="s">
        <v>68</v>
      </c>
      <c r="AI1" s="24" t="s">
        <v>69</v>
      </c>
      <c r="AJ1" s="12" t="s">
        <v>70</v>
      </c>
      <c r="AK1" s="13" t="s">
        <v>71</v>
      </c>
      <c r="AL1" s="12" t="s">
        <v>72</v>
      </c>
      <c r="AM1" s="27" t="s">
        <v>73</v>
      </c>
      <c r="AN1" s="12" t="s">
        <v>74</v>
      </c>
      <c r="AO1" s="13" t="s">
        <v>75</v>
      </c>
      <c r="AP1" s="12" t="s">
        <v>76</v>
      </c>
      <c r="AQ1" s="13" t="s">
        <v>16</v>
      </c>
      <c r="AR1" s="18" t="s">
        <v>77</v>
      </c>
    </row>
    <row r="2" spans="1:44" ht="38.25" customHeight="1" x14ac:dyDescent="0.3">
      <c r="A2" s="19" t="s">
        <v>17</v>
      </c>
      <c r="B2" s="1" t="s">
        <v>78</v>
      </c>
      <c r="C2" s="2" t="s">
        <v>79</v>
      </c>
      <c r="D2" s="2"/>
      <c r="E2" s="3" t="s">
        <v>80</v>
      </c>
      <c r="F2" s="4" t="s">
        <v>81</v>
      </c>
      <c r="G2" s="3" t="s">
        <v>82</v>
      </c>
      <c r="H2" s="4" t="s">
        <v>83</v>
      </c>
      <c r="I2" s="25"/>
      <c r="J2" s="25"/>
      <c r="K2" s="25"/>
      <c r="L2" s="25"/>
      <c r="M2" s="25"/>
      <c r="N2" s="25"/>
      <c r="O2" s="13" t="s">
        <v>59</v>
      </c>
      <c r="P2" s="13" t="s">
        <v>574</v>
      </c>
      <c r="Q2" s="382" t="s">
        <v>585</v>
      </c>
      <c r="R2" s="382" t="s">
        <v>586</v>
      </c>
      <c r="S2" s="382" t="s">
        <v>587</v>
      </c>
      <c r="T2" s="2" t="s">
        <v>86</v>
      </c>
      <c r="U2" s="4" t="s">
        <v>87</v>
      </c>
      <c r="V2" s="25" t="s">
        <v>145</v>
      </c>
      <c r="W2" s="4" t="s">
        <v>88</v>
      </c>
      <c r="X2" s="3" t="s">
        <v>89</v>
      </c>
      <c r="Y2" s="4" t="s">
        <v>90</v>
      </c>
      <c r="Z2" s="3" t="s">
        <v>91</v>
      </c>
      <c r="AA2" s="2" t="s">
        <v>92</v>
      </c>
      <c r="AB2" s="2" t="s">
        <v>93</v>
      </c>
      <c r="AC2" s="4" t="s">
        <v>94</v>
      </c>
      <c r="AD2" s="25" t="s">
        <v>93</v>
      </c>
      <c r="AE2" s="25" t="s">
        <v>94</v>
      </c>
      <c r="AF2" s="25"/>
      <c r="AG2" s="25"/>
      <c r="AH2" s="25" t="s">
        <v>93</v>
      </c>
      <c r="AI2" s="25" t="s">
        <v>94</v>
      </c>
      <c r="AJ2" s="3" t="s">
        <v>95</v>
      </c>
      <c r="AK2" s="4" t="s">
        <v>96</v>
      </c>
      <c r="AL2" s="3" t="s">
        <v>97</v>
      </c>
      <c r="AM2" s="28" t="s">
        <v>98</v>
      </c>
      <c r="AN2" s="3" t="s">
        <v>99</v>
      </c>
      <c r="AO2" s="4" t="s">
        <v>100</v>
      </c>
      <c r="AP2" s="3" t="s">
        <v>101</v>
      </c>
      <c r="AQ2" s="4"/>
      <c r="AR2" s="14"/>
    </row>
    <row r="3" spans="1:44" ht="39" customHeight="1" x14ac:dyDescent="0.3">
      <c r="A3" s="19" t="s">
        <v>34</v>
      </c>
      <c r="B3" s="1" t="s">
        <v>102</v>
      </c>
      <c r="C3" s="2" t="s">
        <v>103</v>
      </c>
      <c r="D3" s="2"/>
      <c r="E3" s="3" t="s">
        <v>104</v>
      </c>
      <c r="F3" s="4" t="s">
        <v>105</v>
      </c>
      <c r="G3" s="3"/>
      <c r="H3" s="4"/>
      <c r="I3" s="25"/>
      <c r="J3" s="25"/>
      <c r="K3" s="25"/>
      <c r="L3" s="25"/>
      <c r="M3" s="25"/>
      <c r="N3" s="25"/>
      <c r="O3" s="4"/>
      <c r="P3" s="4"/>
      <c r="Q3" s="4"/>
      <c r="R3" s="4"/>
      <c r="S3" s="4" t="s">
        <v>588</v>
      </c>
      <c r="T3" s="2" t="s">
        <v>109</v>
      </c>
      <c r="U3" s="4" t="s">
        <v>110</v>
      </c>
      <c r="V3" s="25">
        <v>7.5</v>
      </c>
      <c r="W3" s="4" t="s">
        <v>111</v>
      </c>
      <c r="X3" s="3" t="s">
        <v>112</v>
      </c>
      <c r="Y3" s="4" t="s">
        <v>113</v>
      </c>
      <c r="Z3" s="3" t="s">
        <v>114</v>
      </c>
      <c r="AA3" s="2" t="s">
        <v>115</v>
      </c>
      <c r="AB3" s="2" t="s">
        <v>116</v>
      </c>
      <c r="AC3" s="4" t="s">
        <v>117</v>
      </c>
      <c r="AD3" s="25" t="s">
        <v>116</v>
      </c>
      <c r="AE3" s="25" t="s">
        <v>117</v>
      </c>
      <c r="AF3" s="25" t="s">
        <v>168</v>
      </c>
      <c r="AG3" s="25"/>
      <c r="AH3" s="25" t="s">
        <v>591</v>
      </c>
      <c r="AI3" s="25" t="s">
        <v>592</v>
      </c>
      <c r="AJ3" s="3" t="s">
        <v>118</v>
      </c>
      <c r="AK3" s="4" t="s">
        <v>119</v>
      </c>
      <c r="AL3" s="3" t="s">
        <v>120</v>
      </c>
      <c r="AM3" s="28" t="s">
        <v>121</v>
      </c>
      <c r="AN3" s="3" t="s">
        <v>122</v>
      </c>
      <c r="AO3" s="4" t="s">
        <v>123</v>
      </c>
      <c r="AP3" s="3" t="s">
        <v>124</v>
      </c>
      <c r="AQ3" s="4" t="b">
        <v>0</v>
      </c>
      <c r="AR3" s="14" t="s">
        <v>125</v>
      </c>
    </row>
    <row r="4" spans="1:44" s="31" customFormat="1" ht="15" customHeight="1" x14ac:dyDescent="0.3">
      <c r="E4" s="31" t="s">
        <v>130</v>
      </c>
      <c r="F4" s="31" t="s">
        <v>140</v>
      </c>
      <c r="G4" s="373" t="s">
        <v>141</v>
      </c>
      <c r="H4" s="31" t="s">
        <v>142</v>
      </c>
      <c r="I4" s="31" t="s">
        <v>594</v>
      </c>
      <c r="J4" s="31" t="s">
        <v>595</v>
      </c>
      <c r="K4" s="31" t="s">
        <v>596</v>
      </c>
      <c r="L4" s="31" t="s">
        <v>163</v>
      </c>
      <c r="M4" s="31" t="s">
        <v>144</v>
      </c>
      <c r="N4" s="31" t="s">
        <v>144</v>
      </c>
      <c r="O4" s="31">
        <v>16</v>
      </c>
      <c r="P4" s="31" t="s">
        <v>144</v>
      </c>
      <c r="Q4" s="31" t="s">
        <v>144</v>
      </c>
      <c r="R4" s="31" t="s">
        <v>144</v>
      </c>
      <c r="S4" s="31" t="s">
        <v>144</v>
      </c>
      <c r="T4" s="31" t="s">
        <v>146</v>
      </c>
      <c r="U4" s="31" t="s">
        <v>217</v>
      </c>
      <c r="V4" s="31" t="s">
        <v>597</v>
      </c>
      <c r="W4" s="31" t="s">
        <v>147</v>
      </c>
      <c r="X4" s="31" t="s">
        <v>598</v>
      </c>
      <c r="Y4" s="31">
        <v>1.5</v>
      </c>
      <c r="Z4" s="374"/>
      <c r="AA4" s="31" t="s">
        <v>143</v>
      </c>
      <c r="AB4" s="31" t="s">
        <v>148</v>
      </c>
      <c r="AC4" s="31">
        <v>23</v>
      </c>
      <c r="AD4" s="31" t="s">
        <v>165</v>
      </c>
      <c r="AE4" s="31" t="s">
        <v>166</v>
      </c>
      <c r="AF4" s="371">
        <v>0.53100000000000003</v>
      </c>
      <c r="AG4" s="371"/>
      <c r="AH4" s="371"/>
      <c r="AI4" s="371"/>
      <c r="AJ4" s="31" t="s">
        <v>164</v>
      </c>
      <c r="AK4" s="31" t="s">
        <v>144</v>
      </c>
    </row>
    <row r="5" spans="1:44" s="31" customFormat="1" ht="15" customHeight="1" x14ac:dyDescent="0.3">
      <c r="G5" s="373"/>
      <c r="Z5" s="374"/>
      <c r="AF5" s="371"/>
      <c r="AG5" s="371"/>
      <c r="AH5" s="371"/>
      <c r="AI5" s="371"/>
    </row>
    <row r="6" spans="1:44" s="31" customFormat="1" ht="15" customHeight="1" x14ac:dyDescent="0.3">
      <c r="D6" s="377"/>
      <c r="E6" s="31" t="s">
        <v>460</v>
      </c>
      <c r="F6" s="31" t="s">
        <v>140</v>
      </c>
      <c r="G6" s="31" t="s">
        <v>468</v>
      </c>
      <c r="H6" s="373" t="s">
        <v>467</v>
      </c>
      <c r="I6" s="31" t="s">
        <v>594</v>
      </c>
      <c r="J6" s="31" t="s">
        <v>595</v>
      </c>
      <c r="K6" s="31" t="s">
        <v>599</v>
      </c>
      <c r="L6" s="31" t="s">
        <v>163</v>
      </c>
      <c r="M6" s="31" t="s">
        <v>144</v>
      </c>
      <c r="N6" s="31" t="s">
        <v>144</v>
      </c>
      <c r="O6" s="31">
        <v>16</v>
      </c>
      <c r="P6" s="31">
        <v>1.3</v>
      </c>
      <c r="Q6" s="31">
        <v>7.2</v>
      </c>
      <c r="R6" s="31">
        <v>100</v>
      </c>
      <c r="S6" s="31">
        <v>5</v>
      </c>
      <c r="T6" s="31" t="s">
        <v>479</v>
      </c>
      <c r="U6" s="31" t="s">
        <v>485</v>
      </c>
      <c r="V6" s="31">
        <v>28</v>
      </c>
      <c r="W6" s="31">
        <v>35</v>
      </c>
      <c r="X6" s="378">
        <f t="shared" ref="X6:X11" si="0">+(W6-V6)/7</f>
        <v>1</v>
      </c>
      <c r="Y6" s="377">
        <v>1.4</v>
      </c>
      <c r="Z6" s="374"/>
      <c r="AA6" s="31" t="s">
        <v>491</v>
      </c>
      <c r="AB6" s="31" t="s">
        <v>148</v>
      </c>
      <c r="AC6" s="31">
        <v>23</v>
      </c>
      <c r="AD6" s="31" t="s">
        <v>165</v>
      </c>
      <c r="AE6" s="31" t="s">
        <v>497</v>
      </c>
      <c r="AF6" s="371">
        <v>0.81</v>
      </c>
      <c r="AG6" s="371"/>
      <c r="AH6" s="371"/>
      <c r="AI6" s="371"/>
      <c r="AJ6" s="31" t="s">
        <v>164</v>
      </c>
      <c r="AK6" s="31" t="s">
        <v>144</v>
      </c>
    </row>
    <row r="7" spans="1:44" s="31" customFormat="1" ht="15" customHeight="1" x14ac:dyDescent="0.3">
      <c r="D7" s="377"/>
      <c r="E7" s="31" t="s">
        <v>461</v>
      </c>
      <c r="F7" s="31" t="s">
        <v>140</v>
      </c>
      <c r="G7" s="31" t="s">
        <v>469</v>
      </c>
      <c r="H7" s="373" t="s">
        <v>475</v>
      </c>
      <c r="I7" s="31" t="s">
        <v>594</v>
      </c>
      <c r="J7" s="31" t="s">
        <v>595</v>
      </c>
      <c r="K7" s="31" t="s">
        <v>599</v>
      </c>
      <c r="L7" s="31" t="s">
        <v>163</v>
      </c>
      <c r="M7" s="31" t="s">
        <v>144</v>
      </c>
      <c r="N7" s="31" t="s">
        <v>144</v>
      </c>
      <c r="O7" s="31">
        <v>16</v>
      </c>
      <c r="P7" s="31" t="s">
        <v>144</v>
      </c>
      <c r="Q7" s="31" t="s">
        <v>144</v>
      </c>
      <c r="R7" s="31" t="s">
        <v>144</v>
      </c>
      <c r="S7" s="31" t="s">
        <v>144</v>
      </c>
      <c r="T7" s="31" t="s">
        <v>480</v>
      </c>
      <c r="U7" s="31" t="s">
        <v>486</v>
      </c>
      <c r="V7" s="31">
        <v>35</v>
      </c>
      <c r="W7" s="31">
        <v>41</v>
      </c>
      <c r="X7" s="378">
        <f t="shared" si="0"/>
        <v>0.8571428571428571</v>
      </c>
      <c r="Y7" s="377">
        <v>1.75</v>
      </c>
      <c r="Z7" s="374"/>
      <c r="AA7" s="31" t="s">
        <v>492</v>
      </c>
      <c r="AC7" s="31">
        <v>23</v>
      </c>
      <c r="AD7" s="31" t="s">
        <v>165</v>
      </c>
      <c r="AE7" s="31" t="s">
        <v>498</v>
      </c>
      <c r="AF7" s="371">
        <v>0.81</v>
      </c>
      <c r="AG7" s="371"/>
      <c r="AH7" s="371"/>
      <c r="AI7" s="371"/>
      <c r="AJ7" s="31" t="s">
        <v>164</v>
      </c>
      <c r="AK7" s="31" t="s">
        <v>144</v>
      </c>
    </row>
    <row r="8" spans="1:44" s="31" customFormat="1" ht="15" customHeight="1" x14ac:dyDescent="0.3">
      <c r="D8" s="377"/>
      <c r="E8" s="31" t="s">
        <v>462</v>
      </c>
      <c r="F8" s="31" t="s">
        <v>140</v>
      </c>
      <c r="G8" s="31" t="s">
        <v>470</v>
      </c>
      <c r="H8" s="373" t="s">
        <v>476</v>
      </c>
      <c r="I8" s="31" t="s">
        <v>594</v>
      </c>
      <c r="J8" s="31" t="s">
        <v>595</v>
      </c>
      <c r="K8" s="31" t="s">
        <v>599</v>
      </c>
      <c r="L8" s="31" t="s">
        <v>163</v>
      </c>
      <c r="M8" s="31" t="s">
        <v>144</v>
      </c>
      <c r="N8" s="31" t="s">
        <v>144</v>
      </c>
      <c r="O8" s="31">
        <v>16</v>
      </c>
      <c r="P8" s="31" t="s">
        <v>144</v>
      </c>
      <c r="Q8" s="31" t="s">
        <v>144</v>
      </c>
      <c r="R8" s="31" t="s">
        <v>144</v>
      </c>
      <c r="S8" s="31" t="s">
        <v>144</v>
      </c>
      <c r="T8" s="31" t="s">
        <v>481</v>
      </c>
      <c r="U8" s="31" t="s">
        <v>487</v>
      </c>
      <c r="V8" s="31">
        <v>41</v>
      </c>
      <c r="W8" s="31">
        <v>48</v>
      </c>
      <c r="X8" s="378">
        <f t="shared" si="0"/>
        <v>1</v>
      </c>
      <c r="Y8" s="377">
        <v>1.6</v>
      </c>
      <c r="Z8" s="374"/>
      <c r="AA8" s="31" t="s">
        <v>493</v>
      </c>
      <c r="AC8" s="31">
        <v>23</v>
      </c>
      <c r="AD8" s="31" t="s">
        <v>165</v>
      </c>
      <c r="AE8" s="31" t="s">
        <v>499</v>
      </c>
      <c r="AF8" s="371">
        <v>0.81</v>
      </c>
      <c r="AG8" s="371"/>
      <c r="AH8" s="371"/>
      <c r="AI8" s="371"/>
      <c r="AJ8" s="31" t="s">
        <v>164</v>
      </c>
      <c r="AK8" s="31" t="s">
        <v>144</v>
      </c>
    </row>
    <row r="9" spans="1:44" s="31" customFormat="1" ht="15" customHeight="1" x14ac:dyDescent="0.3">
      <c r="D9" s="377"/>
      <c r="E9" s="31" t="s">
        <v>463</v>
      </c>
      <c r="F9" s="31" t="s">
        <v>140</v>
      </c>
      <c r="G9" s="31" t="s">
        <v>471</v>
      </c>
      <c r="H9" s="373" t="s">
        <v>207</v>
      </c>
      <c r="I9" s="31" t="s">
        <v>594</v>
      </c>
      <c r="J9" s="31" t="s">
        <v>595</v>
      </c>
      <c r="K9" s="31" t="s">
        <v>599</v>
      </c>
      <c r="L9" s="31" t="s">
        <v>163</v>
      </c>
      <c r="M9" s="31" t="s">
        <v>144</v>
      </c>
      <c r="N9" s="31" t="s">
        <v>144</v>
      </c>
      <c r="O9" s="31">
        <v>16</v>
      </c>
      <c r="P9" s="31" t="s">
        <v>144</v>
      </c>
      <c r="Q9" s="31" t="s">
        <v>144</v>
      </c>
      <c r="R9" s="31" t="s">
        <v>144</v>
      </c>
      <c r="S9" s="31" t="s">
        <v>144</v>
      </c>
      <c r="T9" s="31" t="s">
        <v>482</v>
      </c>
      <c r="U9" s="31" t="s">
        <v>488</v>
      </c>
      <c r="V9" s="31">
        <v>48</v>
      </c>
      <c r="W9" s="31">
        <v>55</v>
      </c>
      <c r="X9" s="378">
        <f t="shared" si="0"/>
        <v>1</v>
      </c>
      <c r="Y9" s="377">
        <v>1.7</v>
      </c>
      <c r="Z9" s="374"/>
      <c r="AA9" s="31" t="s">
        <v>494</v>
      </c>
      <c r="AC9" s="31">
        <v>23</v>
      </c>
      <c r="AD9" s="31" t="s">
        <v>165</v>
      </c>
      <c r="AE9" s="31" t="s">
        <v>500</v>
      </c>
      <c r="AF9" s="371">
        <v>0.81</v>
      </c>
      <c r="AG9" s="371"/>
      <c r="AH9" s="371"/>
      <c r="AI9" s="371"/>
      <c r="AJ9" s="31" t="s">
        <v>164</v>
      </c>
      <c r="AK9" s="31" t="s">
        <v>144</v>
      </c>
    </row>
    <row r="10" spans="1:44" s="31" customFormat="1" ht="15" customHeight="1" x14ac:dyDescent="0.3">
      <c r="D10" s="377"/>
      <c r="E10" s="31" t="s">
        <v>464</v>
      </c>
      <c r="F10" s="31" t="s">
        <v>140</v>
      </c>
      <c r="G10" s="31" t="s">
        <v>472</v>
      </c>
      <c r="H10" s="373" t="s">
        <v>477</v>
      </c>
      <c r="I10" s="31" t="s">
        <v>594</v>
      </c>
      <c r="J10" s="31" t="s">
        <v>595</v>
      </c>
      <c r="K10" s="31" t="s">
        <v>599</v>
      </c>
      <c r="L10" s="31" t="s">
        <v>163</v>
      </c>
      <c r="M10" s="31" t="s">
        <v>144</v>
      </c>
      <c r="N10" s="31" t="s">
        <v>144</v>
      </c>
      <c r="O10" s="31">
        <v>16</v>
      </c>
      <c r="P10" s="31" t="s">
        <v>144</v>
      </c>
      <c r="Q10" s="31" t="s">
        <v>144</v>
      </c>
      <c r="R10" s="31" t="s">
        <v>144</v>
      </c>
      <c r="S10" s="31" t="s">
        <v>144</v>
      </c>
      <c r="T10" s="31" t="s">
        <v>483</v>
      </c>
      <c r="U10" s="31" t="s">
        <v>169</v>
      </c>
      <c r="V10" s="31">
        <v>55</v>
      </c>
      <c r="W10" s="31">
        <v>61</v>
      </c>
      <c r="X10" s="378">
        <f t="shared" si="0"/>
        <v>0.8571428571428571</v>
      </c>
      <c r="Y10" s="377">
        <v>2.1</v>
      </c>
      <c r="Z10" s="374"/>
      <c r="AA10" s="31" t="s">
        <v>495</v>
      </c>
      <c r="AC10" s="31">
        <v>23</v>
      </c>
      <c r="AD10" s="31" t="s">
        <v>165</v>
      </c>
      <c r="AE10" s="31" t="s">
        <v>501</v>
      </c>
      <c r="AF10" s="371">
        <v>0.81</v>
      </c>
      <c r="AG10" s="371"/>
      <c r="AH10" s="371"/>
      <c r="AI10" s="371"/>
      <c r="AJ10" s="31" t="s">
        <v>164</v>
      </c>
      <c r="AK10" s="31" t="s">
        <v>144</v>
      </c>
    </row>
    <row r="11" spans="1:44" s="31" customFormat="1" ht="15" customHeight="1" x14ac:dyDescent="0.3">
      <c r="D11" s="377"/>
      <c r="E11" s="31" t="s">
        <v>465</v>
      </c>
      <c r="F11" s="31" t="s">
        <v>140</v>
      </c>
      <c r="G11" s="31" t="s">
        <v>473</v>
      </c>
      <c r="H11" s="373" t="s">
        <v>149</v>
      </c>
      <c r="I11" s="31" t="s">
        <v>594</v>
      </c>
      <c r="J11" s="31" t="s">
        <v>595</v>
      </c>
      <c r="K11" s="31" t="s">
        <v>599</v>
      </c>
      <c r="L11" s="31" t="s">
        <v>163</v>
      </c>
      <c r="M11" s="31" t="s">
        <v>144</v>
      </c>
      <c r="N11" s="31" t="s">
        <v>144</v>
      </c>
      <c r="O11" s="31">
        <v>16</v>
      </c>
      <c r="P11" s="31" t="s">
        <v>144</v>
      </c>
      <c r="Q11" s="31" t="s">
        <v>144</v>
      </c>
      <c r="R11" s="31" t="s">
        <v>144</v>
      </c>
      <c r="S11" s="31" t="s">
        <v>144</v>
      </c>
      <c r="T11" s="31" t="s">
        <v>482</v>
      </c>
      <c r="U11" s="31" t="s">
        <v>489</v>
      </c>
      <c r="V11" s="31">
        <v>61</v>
      </c>
      <c r="W11" s="31">
        <v>68</v>
      </c>
      <c r="X11" s="378">
        <f t="shared" si="0"/>
        <v>1</v>
      </c>
      <c r="Y11" s="377">
        <v>1.9</v>
      </c>
      <c r="Z11" s="374"/>
      <c r="AA11" s="31" t="s">
        <v>250</v>
      </c>
      <c r="AB11" s="31" t="s">
        <v>605</v>
      </c>
      <c r="AC11" s="31">
        <v>23</v>
      </c>
      <c r="AD11" s="31" t="s">
        <v>165</v>
      </c>
      <c r="AE11" s="31" t="s">
        <v>502</v>
      </c>
      <c r="AF11" s="371">
        <v>0.81</v>
      </c>
      <c r="AG11" s="371"/>
      <c r="AH11" s="371"/>
      <c r="AI11" s="371"/>
      <c r="AJ11" s="31" t="s">
        <v>164</v>
      </c>
      <c r="AK11" s="31" t="s">
        <v>144</v>
      </c>
    </row>
    <row r="13" spans="1:44" s="31" customFormat="1" ht="15" customHeight="1" x14ac:dyDescent="0.3">
      <c r="G13" s="373"/>
      <c r="Z13" s="374"/>
      <c r="AF13" s="371"/>
      <c r="AG13" s="371"/>
      <c r="AH13" s="371"/>
      <c r="AI13" s="371"/>
    </row>
    <row r="14" spans="1:44" s="31" customFormat="1" ht="15" customHeight="1" x14ac:dyDescent="0.3">
      <c r="D14" s="377"/>
      <c r="E14" s="31" t="s">
        <v>466</v>
      </c>
      <c r="F14" s="31" t="s">
        <v>140</v>
      </c>
      <c r="G14" s="31" t="s">
        <v>474</v>
      </c>
      <c r="H14" s="373" t="s">
        <v>478</v>
      </c>
      <c r="I14" s="31" t="s">
        <v>594</v>
      </c>
      <c r="J14" s="31" t="s">
        <v>600</v>
      </c>
      <c r="K14" s="31" t="s">
        <v>601</v>
      </c>
      <c r="L14" s="31" t="s">
        <v>163</v>
      </c>
      <c r="M14" s="31" t="s">
        <v>144</v>
      </c>
      <c r="N14" s="31" t="s">
        <v>144</v>
      </c>
      <c r="O14" s="31">
        <v>16</v>
      </c>
      <c r="P14" s="31" t="s">
        <v>144</v>
      </c>
      <c r="Q14" s="31" t="s">
        <v>144</v>
      </c>
      <c r="R14" s="31" t="s">
        <v>144</v>
      </c>
      <c r="S14" s="31" t="s">
        <v>144</v>
      </c>
      <c r="T14" s="31" t="s">
        <v>484</v>
      </c>
      <c r="U14" s="31" t="s">
        <v>490</v>
      </c>
      <c r="V14" s="31">
        <v>68</v>
      </c>
      <c r="W14" s="31">
        <v>75</v>
      </c>
      <c r="X14" s="378">
        <f>+(W14-V14)/7</f>
        <v>1</v>
      </c>
      <c r="Y14" s="377">
        <v>2</v>
      </c>
      <c r="Z14" s="374"/>
      <c r="AA14" s="31" t="s">
        <v>496</v>
      </c>
      <c r="AB14" s="31" t="s">
        <v>605</v>
      </c>
      <c r="AC14" s="31">
        <v>23</v>
      </c>
      <c r="AD14" s="31" t="s">
        <v>165</v>
      </c>
      <c r="AE14" s="31" t="s">
        <v>503</v>
      </c>
      <c r="AF14" s="371">
        <v>0.877</v>
      </c>
      <c r="AG14" s="371"/>
      <c r="AH14" s="31" t="s">
        <v>191</v>
      </c>
      <c r="AI14" s="31" t="s">
        <v>192</v>
      </c>
      <c r="AJ14" s="31" t="s">
        <v>164</v>
      </c>
      <c r="AK14" s="31" t="s">
        <v>144</v>
      </c>
    </row>
    <row r="15" spans="1:44" s="31" customFormat="1" ht="15" customHeight="1" x14ac:dyDescent="0.3">
      <c r="E15" s="31" t="s">
        <v>504</v>
      </c>
      <c r="F15" s="31" t="s">
        <v>140</v>
      </c>
      <c r="G15" s="31" t="s">
        <v>478</v>
      </c>
      <c r="H15" s="31" t="s">
        <v>512</v>
      </c>
      <c r="I15" s="31" t="s">
        <v>594</v>
      </c>
      <c r="J15" s="31" t="s">
        <v>600</v>
      </c>
      <c r="K15" s="31" t="s">
        <v>601</v>
      </c>
      <c r="L15" s="31" t="s">
        <v>163</v>
      </c>
      <c r="M15" s="31" t="s">
        <v>144</v>
      </c>
      <c r="N15" s="31" t="s">
        <v>144</v>
      </c>
      <c r="O15" s="31">
        <v>16</v>
      </c>
      <c r="P15" s="31" t="s">
        <v>144</v>
      </c>
      <c r="Q15" s="31" t="s">
        <v>144</v>
      </c>
      <c r="R15" s="31" t="s">
        <v>144</v>
      </c>
      <c r="S15" s="31" t="s">
        <v>144</v>
      </c>
      <c r="T15" s="31" t="s">
        <v>517</v>
      </c>
      <c r="U15" s="31" t="s">
        <v>519</v>
      </c>
      <c r="V15" s="31">
        <v>75</v>
      </c>
      <c r="W15" s="31">
        <v>82</v>
      </c>
      <c r="X15" s="378">
        <f t="shared" ref="X15:X22" si="1">+(W15-V15)/7</f>
        <v>1</v>
      </c>
      <c r="Y15" s="378">
        <f>+(2.2*7)/(W15-V15)</f>
        <v>2.2000000000000002</v>
      </c>
      <c r="Z15" s="374"/>
      <c r="AA15" s="31" t="s">
        <v>526</v>
      </c>
      <c r="AC15" s="31">
        <v>23</v>
      </c>
      <c r="AD15" s="31" t="s">
        <v>165</v>
      </c>
      <c r="AE15" s="31" t="s">
        <v>544</v>
      </c>
      <c r="AF15" s="371">
        <v>0.877</v>
      </c>
      <c r="AG15" s="378"/>
      <c r="AH15" s="31" t="s">
        <v>191</v>
      </c>
      <c r="AI15" s="31" t="s">
        <v>192</v>
      </c>
      <c r="AJ15" s="31" t="s">
        <v>164</v>
      </c>
      <c r="AK15" s="31" t="s">
        <v>144</v>
      </c>
    </row>
    <row r="16" spans="1:44" s="31" customFormat="1" ht="15" customHeight="1" x14ac:dyDescent="0.3">
      <c r="E16" s="31" t="s">
        <v>505</v>
      </c>
      <c r="F16" s="31" t="s">
        <v>140</v>
      </c>
      <c r="G16" s="31" t="s">
        <v>512</v>
      </c>
      <c r="H16" s="31" t="s">
        <v>513</v>
      </c>
      <c r="I16" s="31" t="s">
        <v>594</v>
      </c>
      <c r="J16" s="31" t="s">
        <v>600</v>
      </c>
      <c r="K16" s="31" t="s">
        <v>601</v>
      </c>
      <c r="L16" s="31" t="s">
        <v>163</v>
      </c>
      <c r="M16" s="31" t="s">
        <v>144</v>
      </c>
      <c r="N16" s="31" t="s">
        <v>144</v>
      </c>
      <c r="O16" s="31">
        <v>16</v>
      </c>
      <c r="P16" s="31" t="s">
        <v>144</v>
      </c>
      <c r="Q16" s="31" t="s">
        <v>144</v>
      </c>
      <c r="R16" s="31" t="s">
        <v>144</v>
      </c>
      <c r="S16" s="31" t="s">
        <v>144</v>
      </c>
      <c r="T16" s="31" t="s">
        <v>517</v>
      </c>
      <c r="U16" s="31" t="s">
        <v>520</v>
      </c>
      <c r="V16" s="31">
        <v>82</v>
      </c>
      <c r="W16" s="31">
        <v>89</v>
      </c>
      <c r="X16" s="378">
        <f t="shared" si="1"/>
        <v>1</v>
      </c>
      <c r="Y16" s="378">
        <f>+(2.3*7)/(W16-V16)</f>
        <v>2.2999999999999998</v>
      </c>
      <c r="Z16" s="374"/>
      <c r="AA16" s="31" t="s">
        <v>527</v>
      </c>
      <c r="AC16" s="31">
        <v>23</v>
      </c>
      <c r="AD16" s="31" t="s">
        <v>165</v>
      </c>
      <c r="AE16" s="31" t="s">
        <v>545</v>
      </c>
      <c r="AF16" s="371">
        <v>0.877</v>
      </c>
      <c r="AG16" s="378"/>
      <c r="AH16" s="31" t="s">
        <v>191</v>
      </c>
      <c r="AI16" s="31" t="s">
        <v>192</v>
      </c>
      <c r="AJ16" s="31" t="s">
        <v>164</v>
      </c>
      <c r="AK16" s="31" t="s">
        <v>144</v>
      </c>
    </row>
    <row r="17" spans="5:37" s="31" customFormat="1" ht="15" customHeight="1" x14ac:dyDescent="0.3">
      <c r="E17" s="31" t="s">
        <v>506</v>
      </c>
      <c r="F17" s="31" t="s">
        <v>140</v>
      </c>
      <c r="G17" s="31" t="s">
        <v>513</v>
      </c>
      <c r="H17" s="31" t="s">
        <v>514</v>
      </c>
      <c r="I17" s="31" t="s">
        <v>594</v>
      </c>
      <c r="J17" s="31" t="s">
        <v>600</v>
      </c>
      <c r="K17" s="31" t="s">
        <v>601</v>
      </c>
      <c r="L17" s="31" t="s">
        <v>163</v>
      </c>
      <c r="M17" s="31" t="s">
        <v>144</v>
      </c>
      <c r="N17" s="31" t="s">
        <v>144</v>
      </c>
      <c r="O17" s="31">
        <v>16</v>
      </c>
      <c r="P17" s="31" t="s">
        <v>144</v>
      </c>
      <c r="Q17" s="31" t="s">
        <v>144</v>
      </c>
      <c r="R17" s="31" t="s">
        <v>144</v>
      </c>
      <c r="S17" s="31" t="s">
        <v>144</v>
      </c>
      <c r="T17" s="31" t="s">
        <v>517</v>
      </c>
      <c r="U17" s="31" t="s">
        <v>521</v>
      </c>
      <c r="V17" s="31">
        <v>89</v>
      </c>
      <c r="W17" s="31">
        <v>96</v>
      </c>
      <c r="X17" s="378">
        <f t="shared" si="1"/>
        <v>1</v>
      </c>
      <c r="Y17" s="378">
        <f>+(2.4*7)/(W17-V17)</f>
        <v>2.4</v>
      </c>
      <c r="Z17" s="374"/>
      <c r="AA17" s="31" t="s">
        <v>528</v>
      </c>
      <c r="AC17" s="31">
        <v>23</v>
      </c>
      <c r="AD17" s="31" t="s">
        <v>165</v>
      </c>
      <c r="AE17" s="31" t="s">
        <v>546</v>
      </c>
      <c r="AF17" s="371">
        <v>0.877</v>
      </c>
      <c r="AG17" s="378"/>
      <c r="AH17" s="31" t="s">
        <v>191</v>
      </c>
      <c r="AI17" s="31" t="s">
        <v>192</v>
      </c>
      <c r="AJ17" s="31" t="s">
        <v>164</v>
      </c>
      <c r="AK17" s="31" t="s">
        <v>144</v>
      </c>
    </row>
    <row r="18" spans="5:37" s="31" customFormat="1" ht="15" customHeight="1" x14ac:dyDescent="0.3">
      <c r="E18" s="31" t="s">
        <v>507</v>
      </c>
      <c r="F18" s="31" t="s">
        <v>140</v>
      </c>
      <c r="G18" s="31" t="s">
        <v>514</v>
      </c>
      <c r="H18" s="31" t="s">
        <v>515</v>
      </c>
      <c r="I18" s="31" t="s">
        <v>594</v>
      </c>
      <c r="J18" s="31" t="s">
        <v>600</v>
      </c>
      <c r="K18" s="31" t="s">
        <v>601</v>
      </c>
      <c r="L18" s="31" t="s">
        <v>163</v>
      </c>
      <c r="M18" s="31" t="s">
        <v>144</v>
      </c>
      <c r="N18" s="31" t="s">
        <v>144</v>
      </c>
      <c r="O18" s="31">
        <v>16</v>
      </c>
      <c r="P18" s="31" t="s">
        <v>144</v>
      </c>
      <c r="Q18" s="31" t="s">
        <v>144</v>
      </c>
      <c r="R18" s="31" t="s">
        <v>144</v>
      </c>
      <c r="S18" s="31" t="s">
        <v>144</v>
      </c>
      <c r="T18" s="31" t="s">
        <v>518</v>
      </c>
      <c r="U18" s="31" t="s">
        <v>276</v>
      </c>
      <c r="V18" s="31">
        <v>96</v>
      </c>
      <c r="W18" s="31">
        <v>103</v>
      </c>
      <c r="X18" s="378">
        <f t="shared" si="1"/>
        <v>1</v>
      </c>
      <c r="Y18" s="378">
        <f>+(2.5*7)/(W18-V18)</f>
        <v>2.5</v>
      </c>
      <c r="Z18" s="374"/>
      <c r="AA18" s="31" t="s">
        <v>529</v>
      </c>
      <c r="AC18" s="31">
        <v>23</v>
      </c>
      <c r="AD18" s="31" t="s">
        <v>165</v>
      </c>
      <c r="AE18" s="31" t="s">
        <v>547</v>
      </c>
      <c r="AF18" s="371">
        <v>0.877</v>
      </c>
      <c r="AG18" s="378"/>
      <c r="AH18" s="31" t="s">
        <v>191</v>
      </c>
      <c r="AI18" s="31" t="s">
        <v>192</v>
      </c>
      <c r="AJ18" s="31" t="s">
        <v>164</v>
      </c>
      <c r="AK18" s="31" t="s">
        <v>144</v>
      </c>
    </row>
    <row r="19" spans="5:37" s="31" customFormat="1" ht="15" customHeight="1" x14ac:dyDescent="0.3">
      <c r="E19" s="31" t="s">
        <v>508</v>
      </c>
      <c r="F19" s="31" t="s">
        <v>140</v>
      </c>
      <c r="G19" s="31" t="s">
        <v>515</v>
      </c>
      <c r="H19" s="31" t="s">
        <v>255</v>
      </c>
      <c r="I19" s="31" t="s">
        <v>594</v>
      </c>
      <c r="J19" s="31" t="s">
        <v>600</v>
      </c>
      <c r="K19" s="31" t="s">
        <v>601</v>
      </c>
      <c r="L19" s="31" t="s">
        <v>163</v>
      </c>
      <c r="M19" s="31" t="s">
        <v>144</v>
      </c>
      <c r="N19" s="31" t="s">
        <v>144</v>
      </c>
      <c r="O19" s="31">
        <v>16</v>
      </c>
      <c r="P19" s="31" t="s">
        <v>144</v>
      </c>
      <c r="Q19" s="31" t="s">
        <v>144</v>
      </c>
      <c r="R19" s="31" t="s">
        <v>144</v>
      </c>
      <c r="S19" s="31" t="s">
        <v>144</v>
      </c>
      <c r="T19" s="31" t="s">
        <v>604</v>
      </c>
      <c r="U19" s="31" t="s">
        <v>522</v>
      </c>
      <c r="V19" s="31">
        <v>103</v>
      </c>
      <c r="W19" s="31">
        <v>110</v>
      </c>
      <c r="X19" s="378">
        <f t="shared" si="1"/>
        <v>1</v>
      </c>
      <c r="Y19" s="378">
        <f>+(2.6*7)/(W19-V19)</f>
        <v>2.6</v>
      </c>
      <c r="Z19" s="374"/>
      <c r="AA19" s="31" t="s">
        <v>530</v>
      </c>
      <c r="AC19" s="31">
        <v>23</v>
      </c>
      <c r="AD19" s="31" t="s">
        <v>165</v>
      </c>
      <c r="AE19" s="31" t="s">
        <v>548</v>
      </c>
      <c r="AF19" s="371">
        <v>0.877</v>
      </c>
      <c r="AG19" s="378"/>
      <c r="AH19" s="31" t="s">
        <v>191</v>
      </c>
      <c r="AI19" s="31" t="s">
        <v>192</v>
      </c>
      <c r="AJ19" s="31" t="s">
        <v>164</v>
      </c>
      <c r="AK19" s="31" t="s">
        <v>144</v>
      </c>
    </row>
    <row r="20" spans="5:37" s="31" customFormat="1" ht="15" customHeight="1" x14ac:dyDescent="0.3">
      <c r="E20" s="31" t="s">
        <v>509</v>
      </c>
      <c r="F20" s="31" t="s">
        <v>140</v>
      </c>
      <c r="G20" s="31" t="s">
        <v>255</v>
      </c>
      <c r="H20" s="31" t="s">
        <v>516</v>
      </c>
      <c r="I20" s="31" t="s">
        <v>594</v>
      </c>
      <c r="J20" s="31" t="s">
        <v>600</v>
      </c>
      <c r="K20" s="31" t="s">
        <v>601</v>
      </c>
      <c r="L20" s="31" t="s">
        <v>163</v>
      </c>
      <c r="M20" s="31" t="s">
        <v>144</v>
      </c>
      <c r="N20" s="31" t="s">
        <v>144</v>
      </c>
      <c r="O20" s="31">
        <v>16</v>
      </c>
      <c r="P20" s="31" t="s">
        <v>144</v>
      </c>
      <c r="Q20" s="31" t="s">
        <v>144</v>
      </c>
      <c r="R20" s="31" t="s">
        <v>144</v>
      </c>
      <c r="S20" s="31" t="s">
        <v>144</v>
      </c>
      <c r="T20" s="31" t="s">
        <v>604</v>
      </c>
      <c r="U20" s="31" t="s">
        <v>523</v>
      </c>
      <c r="V20" s="31">
        <v>110</v>
      </c>
      <c r="W20" s="31">
        <v>117</v>
      </c>
      <c r="X20" s="378">
        <f t="shared" si="1"/>
        <v>1</v>
      </c>
      <c r="Y20" s="378">
        <f>+(2.7*7)/(W20-V20)</f>
        <v>2.7</v>
      </c>
      <c r="Z20" s="374"/>
      <c r="AA20" s="31" t="s">
        <v>531</v>
      </c>
      <c r="AC20" s="31">
        <v>23</v>
      </c>
      <c r="AD20" s="31" t="s">
        <v>165</v>
      </c>
      <c r="AE20" s="31" t="s">
        <v>549</v>
      </c>
      <c r="AF20" s="371">
        <v>0.877</v>
      </c>
      <c r="AG20" s="378"/>
      <c r="AH20" s="31" t="s">
        <v>191</v>
      </c>
      <c r="AI20" s="31" t="s">
        <v>192</v>
      </c>
      <c r="AJ20" s="31" t="s">
        <v>164</v>
      </c>
      <c r="AK20" s="31" t="s">
        <v>144</v>
      </c>
    </row>
    <row r="21" spans="5:37" s="31" customFormat="1" ht="15" customHeight="1" x14ac:dyDescent="0.3">
      <c r="E21" s="31" t="s">
        <v>510</v>
      </c>
      <c r="F21" s="31" t="s">
        <v>140</v>
      </c>
      <c r="G21" s="31" t="s">
        <v>516</v>
      </c>
      <c r="H21" s="31" t="s">
        <v>193</v>
      </c>
      <c r="I21" s="31" t="s">
        <v>594</v>
      </c>
      <c r="J21" s="31" t="s">
        <v>600</v>
      </c>
      <c r="K21" s="31" t="s">
        <v>601</v>
      </c>
      <c r="L21" s="31" t="s">
        <v>163</v>
      </c>
      <c r="M21" s="31" t="s">
        <v>144</v>
      </c>
      <c r="N21" s="31" t="s">
        <v>144</v>
      </c>
      <c r="O21" s="31">
        <v>16</v>
      </c>
      <c r="P21" s="31" t="s">
        <v>144</v>
      </c>
      <c r="Q21" s="31" t="s">
        <v>144</v>
      </c>
      <c r="R21" s="31" t="s">
        <v>144</v>
      </c>
      <c r="S21" s="31" t="s">
        <v>144</v>
      </c>
      <c r="T21" s="31" t="s">
        <v>603</v>
      </c>
      <c r="U21" s="31" t="s">
        <v>524</v>
      </c>
      <c r="V21" s="31">
        <v>117</v>
      </c>
      <c r="W21" s="31">
        <v>124</v>
      </c>
      <c r="X21" s="378">
        <f t="shared" si="1"/>
        <v>1</v>
      </c>
      <c r="Y21" s="378">
        <f>+(2.8*7)/(W21-V21)</f>
        <v>2.8</v>
      </c>
      <c r="Z21" s="374"/>
      <c r="AA21" s="31" t="s">
        <v>251</v>
      </c>
      <c r="AC21" s="31">
        <v>23</v>
      </c>
      <c r="AD21" s="31" t="s">
        <v>165</v>
      </c>
      <c r="AE21" s="31" t="s">
        <v>550</v>
      </c>
      <c r="AF21" s="371">
        <v>0.877</v>
      </c>
      <c r="AG21" s="378"/>
      <c r="AH21" s="31" t="s">
        <v>191</v>
      </c>
      <c r="AI21" s="31" t="s">
        <v>192</v>
      </c>
      <c r="AJ21" s="31" t="s">
        <v>164</v>
      </c>
      <c r="AK21" s="31" t="s">
        <v>144</v>
      </c>
    </row>
    <row r="22" spans="5:37" s="31" customFormat="1" ht="15" customHeight="1" x14ac:dyDescent="0.3">
      <c r="E22" s="31" t="s">
        <v>511</v>
      </c>
      <c r="F22" s="31" t="s">
        <v>140</v>
      </c>
      <c r="G22" s="31" t="s">
        <v>193</v>
      </c>
      <c r="H22" s="31" t="s">
        <v>150</v>
      </c>
      <c r="I22" s="31" t="s">
        <v>594</v>
      </c>
      <c r="J22" s="31" t="s">
        <v>600</v>
      </c>
      <c r="K22" s="31" t="s">
        <v>601</v>
      </c>
      <c r="L22" s="31" t="s">
        <v>163</v>
      </c>
      <c r="M22" s="31" t="s">
        <v>144</v>
      </c>
      <c r="N22" s="31" t="s">
        <v>144</v>
      </c>
      <c r="O22" s="31">
        <v>16</v>
      </c>
      <c r="P22" s="31" t="s">
        <v>144</v>
      </c>
      <c r="Q22" s="31" t="s">
        <v>144</v>
      </c>
      <c r="R22" s="31" t="s">
        <v>144</v>
      </c>
      <c r="S22" s="31" t="s">
        <v>144</v>
      </c>
      <c r="T22" s="31" t="s">
        <v>603</v>
      </c>
      <c r="U22" s="31" t="s">
        <v>525</v>
      </c>
      <c r="V22" s="31">
        <v>124</v>
      </c>
      <c r="W22" s="31">
        <v>130</v>
      </c>
      <c r="X22" s="378">
        <f t="shared" si="1"/>
        <v>0.8571428571428571</v>
      </c>
      <c r="Y22" s="378">
        <f>+(2.9*7)/(W22-V22)</f>
        <v>3.3833333333333333</v>
      </c>
      <c r="Z22" s="374"/>
      <c r="AA22" s="31" t="s">
        <v>532</v>
      </c>
      <c r="AC22" s="31">
        <v>23</v>
      </c>
      <c r="AD22" s="31" t="s">
        <v>165</v>
      </c>
      <c r="AE22" s="31" t="s">
        <v>551</v>
      </c>
      <c r="AF22" s="371">
        <v>0.877</v>
      </c>
      <c r="AG22" s="378"/>
      <c r="AH22" s="31" t="s">
        <v>191</v>
      </c>
      <c r="AI22" s="31" t="s">
        <v>192</v>
      </c>
      <c r="AJ22" s="31" t="s">
        <v>164</v>
      </c>
      <c r="AK22" s="31" t="s">
        <v>144</v>
      </c>
    </row>
    <row r="23" spans="5:37" s="31" customFormat="1" ht="15" customHeight="1" x14ac:dyDescent="0.3">
      <c r="E23" s="31" t="s">
        <v>602</v>
      </c>
      <c r="F23" s="31" t="s">
        <v>140</v>
      </c>
      <c r="G23" s="31" t="s">
        <v>193</v>
      </c>
      <c r="H23" s="31" t="s">
        <v>150</v>
      </c>
      <c r="I23" s="31" t="s">
        <v>594</v>
      </c>
      <c r="J23" s="31" t="s">
        <v>600</v>
      </c>
      <c r="K23" s="31" t="s">
        <v>601</v>
      </c>
      <c r="L23" s="31" t="s">
        <v>163</v>
      </c>
      <c r="M23" s="31" t="s">
        <v>144</v>
      </c>
      <c r="N23" s="31" t="s">
        <v>144</v>
      </c>
      <c r="O23" s="31">
        <v>16</v>
      </c>
      <c r="P23" s="31" t="s">
        <v>144</v>
      </c>
      <c r="Q23" s="31" t="s">
        <v>144</v>
      </c>
      <c r="R23" s="31" t="s">
        <v>144</v>
      </c>
      <c r="S23" s="31" t="s">
        <v>144</v>
      </c>
      <c r="T23" s="31" t="s">
        <v>603</v>
      </c>
      <c r="U23" s="31" t="s">
        <v>525</v>
      </c>
      <c r="V23" s="31">
        <v>124</v>
      </c>
      <c r="W23" s="31">
        <v>130</v>
      </c>
      <c r="X23" s="378">
        <v>0.877</v>
      </c>
      <c r="Y23" s="378">
        <f>+(2.9*7)/(W23-V23)</f>
        <v>3.3833333333333333</v>
      </c>
      <c r="Z23" s="374"/>
      <c r="AA23" s="31" t="s">
        <v>532</v>
      </c>
      <c r="AB23" s="31" t="s">
        <v>543</v>
      </c>
      <c r="AC23" s="31">
        <v>23</v>
      </c>
      <c r="AD23" s="31" t="s">
        <v>165</v>
      </c>
      <c r="AE23" s="31" t="s">
        <v>551</v>
      </c>
      <c r="AF23" s="371">
        <v>0.877</v>
      </c>
      <c r="AG23" s="378"/>
      <c r="AH23" s="31" t="s">
        <v>191</v>
      </c>
      <c r="AI23" s="31" t="s">
        <v>192</v>
      </c>
      <c r="AJ23" s="31" t="s">
        <v>164</v>
      </c>
      <c r="AK23" s="31" t="s">
        <v>615</v>
      </c>
    </row>
    <row r="24" spans="5:37" s="31" customFormat="1" ht="15" customHeight="1" x14ac:dyDescent="0.3">
      <c r="X24" s="378"/>
      <c r="Y24" s="378"/>
      <c r="Z24" s="374"/>
      <c r="AF24" s="378"/>
      <c r="AG24" s="378"/>
    </row>
    <row r="25" spans="5:37" s="31" customFormat="1" ht="15" customHeight="1" x14ac:dyDescent="0.3">
      <c r="E25" s="31" t="s">
        <v>533</v>
      </c>
      <c r="F25" s="31" t="s">
        <v>140</v>
      </c>
      <c r="G25" s="31" t="s">
        <v>150</v>
      </c>
      <c r="H25" s="31" t="s">
        <v>536</v>
      </c>
      <c r="I25" s="31" t="s">
        <v>594</v>
      </c>
      <c r="J25" s="31" t="s">
        <v>607</v>
      </c>
      <c r="K25" s="31" t="s">
        <v>608</v>
      </c>
      <c r="L25" s="31" t="s">
        <v>163</v>
      </c>
      <c r="M25" s="31" t="s">
        <v>144</v>
      </c>
      <c r="N25" s="31" t="s">
        <v>144</v>
      </c>
      <c r="O25" s="31">
        <v>16</v>
      </c>
      <c r="P25" s="31" t="s">
        <v>144</v>
      </c>
      <c r="Q25" s="31" t="s">
        <v>144</v>
      </c>
      <c r="R25" s="31" t="s">
        <v>144</v>
      </c>
      <c r="S25" s="31" t="s">
        <v>144</v>
      </c>
      <c r="T25" s="31" t="s">
        <v>593</v>
      </c>
      <c r="U25" s="31" t="s">
        <v>537</v>
      </c>
      <c r="V25" s="31">
        <v>130</v>
      </c>
      <c r="W25" s="31">
        <v>137</v>
      </c>
      <c r="X25" s="378">
        <f>+(W25-V25)/7</f>
        <v>1</v>
      </c>
      <c r="Y25" s="378">
        <f>+(3*7)/(W25-V25)</f>
        <v>3</v>
      </c>
      <c r="Z25" s="374"/>
      <c r="AA25" s="31" t="s">
        <v>540</v>
      </c>
      <c r="AB25" s="31" t="s">
        <v>543</v>
      </c>
      <c r="AC25" s="31">
        <v>23</v>
      </c>
      <c r="AD25" s="31" t="s">
        <v>165</v>
      </c>
      <c r="AE25" s="31" t="s">
        <v>614</v>
      </c>
      <c r="AF25" s="371">
        <v>0.79999999999999916</v>
      </c>
      <c r="AG25" s="371"/>
      <c r="AH25" s="31" t="s">
        <v>191</v>
      </c>
      <c r="AI25" s="31" t="s">
        <v>192</v>
      </c>
      <c r="AJ25" s="31" t="s">
        <v>164</v>
      </c>
      <c r="AK25" s="31" t="s">
        <v>144</v>
      </c>
    </row>
    <row r="26" spans="5:37" s="31" customFormat="1" ht="15" customHeight="1" x14ac:dyDescent="0.3">
      <c r="E26" s="31" t="s">
        <v>534</v>
      </c>
      <c r="F26" s="31" t="s">
        <v>140</v>
      </c>
      <c r="G26" s="31" t="s">
        <v>536</v>
      </c>
      <c r="H26" s="31" t="s">
        <v>194</v>
      </c>
      <c r="I26" s="31" t="s">
        <v>594</v>
      </c>
      <c r="J26" s="31" t="s">
        <v>607</v>
      </c>
      <c r="K26" s="31" t="s">
        <v>608</v>
      </c>
      <c r="L26" s="31" t="s">
        <v>163</v>
      </c>
      <c r="M26" s="31" t="s">
        <v>144</v>
      </c>
      <c r="N26" s="31" t="s">
        <v>144</v>
      </c>
      <c r="O26" s="31">
        <v>16</v>
      </c>
      <c r="P26" s="31" t="s">
        <v>144</v>
      </c>
      <c r="Q26" s="31" t="s">
        <v>144</v>
      </c>
      <c r="R26" s="31" t="s">
        <v>144</v>
      </c>
      <c r="S26" s="31" t="s">
        <v>144</v>
      </c>
      <c r="T26" s="31" t="s">
        <v>593</v>
      </c>
      <c r="U26" s="31" t="s">
        <v>538</v>
      </c>
      <c r="V26" s="31">
        <v>137</v>
      </c>
      <c r="W26" s="31">
        <v>144</v>
      </c>
      <c r="X26" s="378">
        <f>+(W26-V26)/7</f>
        <v>1</v>
      </c>
      <c r="Y26" s="378">
        <f>+(3.3*7)/(W26-V26)</f>
        <v>3.3</v>
      </c>
      <c r="Z26" s="374"/>
      <c r="AA26" s="31" t="s">
        <v>252</v>
      </c>
      <c r="AC26" s="31">
        <v>23</v>
      </c>
      <c r="AD26" s="31" t="s">
        <v>165</v>
      </c>
      <c r="AE26" s="31" t="s">
        <v>614</v>
      </c>
      <c r="AF26" s="371">
        <v>0.80000000000000127</v>
      </c>
      <c r="AG26" s="371"/>
      <c r="AH26" s="31" t="s">
        <v>191</v>
      </c>
      <c r="AI26" s="31" t="s">
        <v>192</v>
      </c>
      <c r="AJ26" s="31" t="s">
        <v>164</v>
      </c>
      <c r="AK26" s="31" t="s">
        <v>144</v>
      </c>
    </row>
    <row r="27" spans="5:37" s="31" customFormat="1" ht="15" customHeight="1" x14ac:dyDescent="0.3">
      <c r="E27" s="31" t="s">
        <v>535</v>
      </c>
      <c r="F27" s="31" t="s">
        <v>140</v>
      </c>
      <c r="G27" s="31" t="s">
        <v>194</v>
      </c>
      <c r="H27" s="31" t="s">
        <v>151</v>
      </c>
      <c r="I27" s="31" t="s">
        <v>594</v>
      </c>
      <c r="J27" s="31" t="s">
        <v>607</v>
      </c>
      <c r="K27" s="31" t="s">
        <v>608</v>
      </c>
      <c r="L27" s="31" t="s">
        <v>163</v>
      </c>
      <c r="M27" s="31" t="s">
        <v>144</v>
      </c>
      <c r="N27" s="31" t="s">
        <v>144</v>
      </c>
      <c r="O27" s="31">
        <v>16</v>
      </c>
      <c r="P27" s="31" t="s">
        <v>144</v>
      </c>
      <c r="Q27" s="31" t="s">
        <v>144</v>
      </c>
      <c r="R27" s="31" t="s">
        <v>144</v>
      </c>
      <c r="S27" s="31" t="s">
        <v>144</v>
      </c>
      <c r="T27" s="31" t="s">
        <v>593</v>
      </c>
      <c r="U27" s="31" t="s">
        <v>539</v>
      </c>
      <c r="V27" s="31">
        <v>144</v>
      </c>
      <c r="W27" s="31">
        <v>150</v>
      </c>
      <c r="X27" s="378">
        <f>+(W27-V27)/7</f>
        <v>0.8571428571428571</v>
      </c>
      <c r="Y27" s="378">
        <f>+(3.5*7)/(W27-V27)</f>
        <v>4.083333333333333</v>
      </c>
      <c r="Z27" s="374"/>
      <c r="AA27" s="31" t="s">
        <v>541</v>
      </c>
      <c r="AC27" s="31">
        <v>23</v>
      </c>
      <c r="AD27" s="31" t="s">
        <v>165</v>
      </c>
      <c r="AE27" s="31" t="s">
        <v>614</v>
      </c>
      <c r="AF27" s="371">
        <v>0.79999999999999916</v>
      </c>
      <c r="AG27" s="371"/>
      <c r="AH27" s="31" t="s">
        <v>191</v>
      </c>
      <c r="AI27" s="31" t="s">
        <v>192</v>
      </c>
      <c r="AJ27" s="31" t="s">
        <v>164</v>
      </c>
      <c r="AK27" s="31" t="s">
        <v>144</v>
      </c>
    </row>
    <row r="28" spans="5:37" s="31" customFormat="1" ht="15" customHeight="1" x14ac:dyDescent="0.3">
      <c r="E28" s="31" t="s">
        <v>606</v>
      </c>
      <c r="F28" s="31" t="s">
        <v>140</v>
      </c>
      <c r="G28" s="31" t="s">
        <v>151</v>
      </c>
      <c r="H28" s="31" t="s">
        <v>151</v>
      </c>
      <c r="I28" s="31" t="s">
        <v>594</v>
      </c>
      <c r="J28" s="31" t="s">
        <v>607</v>
      </c>
      <c r="K28" s="31" t="s">
        <v>608</v>
      </c>
      <c r="L28" s="31" t="s">
        <v>163</v>
      </c>
      <c r="M28" s="31" t="s">
        <v>144</v>
      </c>
      <c r="N28" s="31" t="s">
        <v>144</v>
      </c>
      <c r="O28" s="31">
        <v>16</v>
      </c>
      <c r="P28" s="31" t="s">
        <v>144</v>
      </c>
      <c r="Q28" s="31" t="s">
        <v>144</v>
      </c>
      <c r="R28" s="31" t="s">
        <v>144</v>
      </c>
      <c r="S28" s="31" t="s">
        <v>144</v>
      </c>
      <c r="T28" s="31" t="s">
        <v>593</v>
      </c>
      <c r="U28" s="31" t="s">
        <v>539</v>
      </c>
      <c r="V28" s="31">
        <v>144</v>
      </c>
      <c r="W28" s="31">
        <v>150</v>
      </c>
      <c r="X28" s="378">
        <v>0.95199999999999996</v>
      </c>
      <c r="Y28" s="378">
        <f>+(3.5*7)/(W28-V28)</f>
        <v>4.083333333333333</v>
      </c>
      <c r="Z28" s="374"/>
      <c r="AA28" s="31" t="s">
        <v>541</v>
      </c>
      <c r="AB28" s="31" t="s">
        <v>542</v>
      </c>
      <c r="AC28" s="31">
        <v>23</v>
      </c>
      <c r="AD28" s="31" t="s">
        <v>165</v>
      </c>
      <c r="AE28" s="31" t="s">
        <v>614</v>
      </c>
      <c r="AF28" s="371">
        <v>0.81</v>
      </c>
      <c r="AG28" s="371"/>
      <c r="AH28" s="31" t="s">
        <v>191</v>
      </c>
      <c r="AI28" s="31" t="s">
        <v>192</v>
      </c>
      <c r="AJ28" s="31" t="s">
        <v>164</v>
      </c>
      <c r="AK28" s="31" t="s">
        <v>616</v>
      </c>
    </row>
    <row r="29" spans="5:37" s="31" customFormat="1" ht="15" customHeight="1" x14ac:dyDescent="0.3">
      <c r="Y29" s="372"/>
      <c r="Z29" s="374"/>
      <c r="AF29" s="371"/>
      <c r="AG29" s="371"/>
    </row>
    <row r="30" spans="5:37" s="31" customFormat="1" ht="15" customHeight="1" x14ac:dyDescent="0.3">
      <c r="E30" s="31" t="s">
        <v>552</v>
      </c>
      <c r="F30" s="31" t="s">
        <v>140</v>
      </c>
      <c r="G30" s="31" t="s">
        <v>151</v>
      </c>
      <c r="H30" s="31" t="s">
        <v>559</v>
      </c>
      <c r="I30" s="31" t="s">
        <v>594</v>
      </c>
      <c r="J30" s="31" t="s">
        <v>610</v>
      </c>
      <c r="K30" s="31" t="s">
        <v>686</v>
      </c>
      <c r="L30" s="31" t="s">
        <v>254</v>
      </c>
      <c r="M30" s="31" t="s">
        <v>611</v>
      </c>
      <c r="N30" s="31" t="s">
        <v>144</v>
      </c>
      <c r="O30" s="31">
        <v>16</v>
      </c>
      <c r="P30" s="31" t="s">
        <v>144</v>
      </c>
      <c r="Q30" s="31" t="s">
        <v>144</v>
      </c>
      <c r="R30" s="31" t="s">
        <v>144</v>
      </c>
      <c r="S30" s="31" t="s">
        <v>144</v>
      </c>
      <c r="T30" s="31" t="s">
        <v>593</v>
      </c>
      <c r="U30" s="31" t="s">
        <v>276</v>
      </c>
      <c r="V30" s="31">
        <v>135</v>
      </c>
      <c r="W30" s="31" t="s">
        <v>144</v>
      </c>
      <c r="X30" s="31">
        <v>0.89300000000000002</v>
      </c>
      <c r="Y30" s="378" t="s">
        <v>144</v>
      </c>
      <c r="AA30" s="31" t="s">
        <v>195</v>
      </c>
      <c r="AB30" s="31" t="s">
        <v>342</v>
      </c>
      <c r="AC30" s="31">
        <v>23</v>
      </c>
      <c r="AD30" s="31" t="s">
        <v>613</v>
      </c>
      <c r="AJ30" s="31" t="s">
        <v>164</v>
      </c>
      <c r="AK30" s="31" t="s">
        <v>144</v>
      </c>
    </row>
    <row r="31" spans="5:37" s="31" customFormat="1" ht="15" customHeight="1" x14ac:dyDescent="0.3">
      <c r="E31" s="31" t="s">
        <v>553</v>
      </c>
      <c r="F31" s="31" t="s">
        <v>140</v>
      </c>
      <c r="G31" s="31" t="s">
        <v>559</v>
      </c>
      <c r="H31" s="31" t="s">
        <v>339</v>
      </c>
      <c r="I31" s="31" t="s">
        <v>594</v>
      </c>
      <c r="J31" s="31" t="s">
        <v>610</v>
      </c>
      <c r="K31" s="31" t="s">
        <v>686</v>
      </c>
      <c r="L31" s="31" t="s">
        <v>254</v>
      </c>
      <c r="M31" s="31" t="s">
        <v>611</v>
      </c>
      <c r="N31" s="31" t="s">
        <v>144</v>
      </c>
      <c r="O31" s="31">
        <v>16</v>
      </c>
      <c r="P31" s="31" t="s">
        <v>144</v>
      </c>
      <c r="Q31" s="31" t="s">
        <v>144</v>
      </c>
      <c r="R31" s="31" t="s">
        <v>144</v>
      </c>
      <c r="S31" s="31" t="s">
        <v>144</v>
      </c>
      <c r="T31" s="31" t="s">
        <v>593</v>
      </c>
      <c r="U31" s="31" t="s">
        <v>276</v>
      </c>
      <c r="V31" s="31">
        <f t="shared" ref="V31:V35" si="2">+V30+5</f>
        <v>140</v>
      </c>
      <c r="W31" s="31" t="s">
        <v>144</v>
      </c>
      <c r="X31" s="31">
        <v>0.89300000000000002</v>
      </c>
      <c r="Y31" s="378" t="s">
        <v>144</v>
      </c>
      <c r="AA31" s="31" t="s">
        <v>195</v>
      </c>
      <c r="AB31" s="31" t="s">
        <v>342</v>
      </c>
      <c r="AC31" s="31">
        <v>23</v>
      </c>
      <c r="AD31" s="31" t="s">
        <v>613</v>
      </c>
      <c r="AJ31" s="31" t="s">
        <v>164</v>
      </c>
      <c r="AK31" s="31" t="s">
        <v>144</v>
      </c>
    </row>
    <row r="32" spans="5:37" s="31" customFormat="1" ht="15" customHeight="1" x14ac:dyDescent="0.3">
      <c r="E32" s="31" t="s">
        <v>554</v>
      </c>
      <c r="F32" s="31" t="s">
        <v>140</v>
      </c>
      <c r="G32" s="31" t="s">
        <v>339</v>
      </c>
      <c r="H32" s="31" t="s">
        <v>560</v>
      </c>
      <c r="I32" s="31" t="s">
        <v>594</v>
      </c>
      <c r="J32" s="31" t="s">
        <v>610</v>
      </c>
      <c r="K32" s="31" t="s">
        <v>686</v>
      </c>
      <c r="L32" s="31" t="s">
        <v>254</v>
      </c>
      <c r="M32" s="31" t="s">
        <v>611</v>
      </c>
      <c r="N32" s="31" t="s">
        <v>144</v>
      </c>
      <c r="O32" s="31">
        <v>16</v>
      </c>
      <c r="P32" s="31" t="s">
        <v>144</v>
      </c>
      <c r="Q32" s="31" t="s">
        <v>144</v>
      </c>
      <c r="R32" s="31" t="s">
        <v>144</v>
      </c>
      <c r="S32" s="31" t="s">
        <v>144</v>
      </c>
      <c r="T32" s="31" t="s">
        <v>593</v>
      </c>
      <c r="U32" s="31" t="s">
        <v>276</v>
      </c>
      <c r="V32" s="31">
        <v>146</v>
      </c>
      <c r="W32" s="31" t="s">
        <v>144</v>
      </c>
      <c r="X32" s="31">
        <v>0.89300000000000002</v>
      </c>
      <c r="Y32" s="378" t="s">
        <v>144</v>
      </c>
      <c r="AA32" s="31" t="s">
        <v>195</v>
      </c>
      <c r="AB32" s="31" t="s">
        <v>342</v>
      </c>
      <c r="AC32" s="31">
        <v>23</v>
      </c>
      <c r="AD32" s="31" t="s">
        <v>613</v>
      </c>
      <c r="AJ32" s="31" t="s">
        <v>164</v>
      </c>
      <c r="AK32" s="31" t="s">
        <v>144</v>
      </c>
    </row>
    <row r="33" spans="5:41" s="31" customFormat="1" ht="15" customHeight="1" x14ac:dyDescent="0.3">
      <c r="E33" s="31" t="s">
        <v>555</v>
      </c>
      <c r="F33" s="31" t="s">
        <v>140</v>
      </c>
      <c r="G33" s="31" t="s">
        <v>560</v>
      </c>
      <c r="H33" s="31" t="s">
        <v>561</v>
      </c>
      <c r="I33" s="31" t="s">
        <v>594</v>
      </c>
      <c r="J33" s="31" t="s">
        <v>610</v>
      </c>
      <c r="K33" s="31" t="s">
        <v>686</v>
      </c>
      <c r="L33" s="31" t="s">
        <v>254</v>
      </c>
      <c r="M33" s="31" t="s">
        <v>611</v>
      </c>
      <c r="N33" s="31" t="s">
        <v>144</v>
      </c>
      <c r="O33" s="31">
        <v>16</v>
      </c>
      <c r="P33" s="31" t="s">
        <v>144</v>
      </c>
      <c r="Q33" s="31" t="s">
        <v>144</v>
      </c>
      <c r="R33" s="31" t="s">
        <v>144</v>
      </c>
      <c r="S33" s="31" t="s">
        <v>144</v>
      </c>
      <c r="T33" s="31" t="s">
        <v>593</v>
      </c>
      <c r="U33" s="31" t="s">
        <v>276</v>
      </c>
      <c r="V33" s="31">
        <f t="shared" si="2"/>
        <v>151</v>
      </c>
      <c r="W33" s="31" t="s">
        <v>144</v>
      </c>
      <c r="X33" s="31">
        <v>0.89300000000000002</v>
      </c>
      <c r="Y33" s="378" t="s">
        <v>144</v>
      </c>
      <c r="AA33" s="31" t="s">
        <v>195</v>
      </c>
      <c r="AB33" s="31" t="s">
        <v>342</v>
      </c>
      <c r="AC33" s="31">
        <v>23</v>
      </c>
      <c r="AD33" s="31" t="s">
        <v>613</v>
      </c>
      <c r="AJ33" s="31" t="s">
        <v>164</v>
      </c>
      <c r="AK33" s="31" t="s">
        <v>144</v>
      </c>
    </row>
    <row r="34" spans="5:41" s="31" customFormat="1" ht="15" customHeight="1" x14ac:dyDescent="0.3">
      <c r="E34" s="31" t="s">
        <v>556</v>
      </c>
      <c r="F34" s="31" t="s">
        <v>140</v>
      </c>
      <c r="G34" s="31" t="s">
        <v>561</v>
      </c>
      <c r="H34" s="31" t="s">
        <v>253</v>
      </c>
      <c r="I34" s="31" t="s">
        <v>594</v>
      </c>
      <c r="J34" s="31" t="s">
        <v>610</v>
      </c>
      <c r="K34" s="31" t="s">
        <v>686</v>
      </c>
      <c r="L34" s="31" t="s">
        <v>254</v>
      </c>
      <c r="M34" s="31" t="s">
        <v>611</v>
      </c>
      <c r="N34" s="31" t="s">
        <v>144</v>
      </c>
      <c r="O34" s="31">
        <v>16</v>
      </c>
      <c r="P34" s="31" t="s">
        <v>144</v>
      </c>
      <c r="Q34" s="31" t="s">
        <v>144</v>
      </c>
      <c r="R34" s="31" t="s">
        <v>144</v>
      </c>
      <c r="S34" s="31" t="s">
        <v>144</v>
      </c>
      <c r="T34" s="31" t="s">
        <v>593</v>
      </c>
      <c r="U34" s="31" t="s">
        <v>276</v>
      </c>
      <c r="V34" s="31">
        <v>157</v>
      </c>
      <c r="W34" s="31" t="s">
        <v>144</v>
      </c>
      <c r="X34" s="31">
        <v>0.89300000000000002</v>
      </c>
      <c r="Y34" s="378" t="s">
        <v>144</v>
      </c>
      <c r="AA34" s="31" t="s">
        <v>195</v>
      </c>
      <c r="AB34" s="31" t="s">
        <v>342</v>
      </c>
      <c r="AC34" s="31">
        <v>23</v>
      </c>
      <c r="AD34" s="31" t="s">
        <v>613</v>
      </c>
      <c r="AJ34" s="31" t="s">
        <v>164</v>
      </c>
      <c r="AK34" s="31" t="s">
        <v>144</v>
      </c>
    </row>
    <row r="35" spans="5:41" s="31" customFormat="1" ht="15" customHeight="1" x14ac:dyDescent="0.3">
      <c r="E35" s="31" t="s">
        <v>557</v>
      </c>
      <c r="F35" s="31" t="s">
        <v>140</v>
      </c>
      <c r="G35" s="31" t="s">
        <v>253</v>
      </c>
      <c r="H35" s="31" t="s">
        <v>562</v>
      </c>
      <c r="I35" s="31" t="s">
        <v>594</v>
      </c>
      <c r="J35" s="31" t="s">
        <v>610</v>
      </c>
      <c r="K35" s="31" t="s">
        <v>686</v>
      </c>
      <c r="L35" s="31" t="s">
        <v>254</v>
      </c>
      <c r="M35" s="31" t="s">
        <v>611</v>
      </c>
      <c r="N35" s="31" t="s">
        <v>144</v>
      </c>
      <c r="O35" s="31">
        <v>16</v>
      </c>
      <c r="P35" s="31" t="s">
        <v>144</v>
      </c>
      <c r="Q35" s="31" t="s">
        <v>144</v>
      </c>
      <c r="R35" s="31" t="s">
        <v>144</v>
      </c>
      <c r="S35" s="31" t="s">
        <v>144</v>
      </c>
      <c r="T35" s="31" t="s">
        <v>593</v>
      </c>
      <c r="U35" s="31" t="s">
        <v>276</v>
      </c>
      <c r="V35" s="31">
        <f t="shared" si="2"/>
        <v>162</v>
      </c>
      <c r="W35" s="31" t="s">
        <v>144</v>
      </c>
      <c r="X35" s="31">
        <v>0.89300000000000002</v>
      </c>
      <c r="Y35" s="378" t="s">
        <v>144</v>
      </c>
      <c r="AA35" s="31" t="s">
        <v>195</v>
      </c>
      <c r="AB35" s="31" t="s">
        <v>342</v>
      </c>
      <c r="AC35" s="31">
        <v>23</v>
      </c>
      <c r="AD35" s="31" t="s">
        <v>613</v>
      </c>
      <c r="AJ35" s="31" t="s">
        <v>164</v>
      </c>
      <c r="AK35" s="31" t="s">
        <v>144</v>
      </c>
    </row>
    <row r="36" spans="5:41" s="31" customFormat="1" ht="15" customHeight="1" x14ac:dyDescent="0.3">
      <c r="E36" s="31" t="s">
        <v>558</v>
      </c>
      <c r="F36" s="31" t="s">
        <v>140</v>
      </c>
      <c r="G36" s="31" t="s">
        <v>562</v>
      </c>
      <c r="H36" s="31" t="s">
        <v>563</v>
      </c>
      <c r="I36" s="31" t="s">
        <v>594</v>
      </c>
      <c r="J36" s="31" t="s">
        <v>610</v>
      </c>
      <c r="K36" s="31" t="s">
        <v>686</v>
      </c>
      <c r="L36" s="31" t="s">
        <v>254</v>
      </c>
      <c r="M36" s="31" t="s">
        <v>611</v>
      </c>
      <c r="N36" s="31" t="s">
        <v>144</v>
      </c>
      <c r="O36" s="31">
        <v>16</v>
      </c>
      <c r="P36" s="31" t="s">
        <v>144</v>
      </c>
      <c r="Q36" s="31" t="s">
        <v>144</v>
      </c>
      <c r="R36" s="31" t="s">
        <v>144</v>
      </c>
      <c r="S36" s="31" t="s">
        <v>144</v>
      </c>
      <c r="T36" s="31" t="s">
        <v>593</v>
      </c>
      <c r="U36" s="31" t="s">
        <v>276</v>
      </c>
      <c r="V36" s="31">
        <v>167</v>
      </c>
      <c r="W36" s="31" t="s">
        <v>144</v>
      </c>
      <c r="X36" s="31">
        <v>0.89300000000000002</v>
      </c>
      <c r="Y36" s="378" t="s">
        <v>144</v>
      </c>
      <c r="AA36" s="31" t="s">
        <v>195</v>
      </c>
      <c r="AB36" s="31" t="s">
        <v>342</v>
      </c>
      <c r="AC36" s="31">
        <v>23</v>
      </c>
      <c r="AD36" s="31" t="s">
        <v>613</v>
      </c>
      <c r="AJ36" s="31" t="s">
        <v>164</v>
      </c>
      <c r="AK36" s="31" t="s">
        <v>144</v>
      </c>
    </row>
    <row r="37" spans="5:41" s="31" customFormat="1" ht="15" customHeight="1" x14ac:dyDescent="0.3">
      <c r="E37" s="31" t="s">
        <v>612</v>
      </c>
      <c r="F37" s="31" t="s">
        <v>140</v>
      </c>
      <c r="G37" s="31" t="s">
        <v>609</v>
      </c>
      <c r="H37" s="31" t="s">
        <v>617</v>
      </c>
      <c r="I37" s="31" t="s">
        <v>594</v>
      </c>
      <c r="J37" s="31" t="s">
        <v>610</v>
      </c>
      <c r="K37" s="31" t="s">
        <v>686</v>
      </c>
      <c r="L37" s="31" t="s">
        <v>254</v>
      </c>
      <c r="M37" s="31" t="s">
        <v>611</v>
      </c>
      <c r="N37" s="31" t="s">
        <v>144</v>
      </c>
      <c r="O37" s="31">
        <v>16</v>
      </c>
      <c r="P37" s="31" t="s">
        <v>144</v>
      </c>
      <c r="Q37" s="31" t="s">
        <v>144</v>
      </c>
      <c r="R37" s="31" t="s">
        <v>144</v>
      </c>
      <c r="S37" s="31" t="s">
        <v>144</v>
      </c>
      <c r="T37" s="31" t="s">
        <v>593</v>
      </c>
      <c r="U37" s="31" t="s">
        <v>276</v>
      </c>
      <c r="V37" s="31">
        <v>167</v>
      </c>
      <c r="W37" s="31" t="s">
        <v>144</v>
      </c>
      <c r="X37" s="31">
        <v>0.89300000000000002</v>
      </c>
      <c r="Y37" s="378" t="s">
        <v>144</v>
      </c>
      <c r="AA37" s="31" t="s">
        <v>195</v>
      </c>
      <c r="AB37" s="31" t="s">
        <v>342</v>
      </c>
      <c r="AC37" s="31">
        <v>23</v>
      </c>
      <c r="AD37" s="31" t="s">
        <v>613</v>
      </c>
      <c r="AJ37" s="31" t="s">
        <v>164</v>
      </c>
      <c r="AK37" s="31" t="s">
        <v>144</v>
      </c>
    </row>
    <row r="38" spans="5:41" s="31" customFormat="1" ht="15" customHeight="1" x14ac:dyDescent="0.3">
      <c r="X38" s="378"/>
      <c r="Y38" s="378"/>
    </row>
    <row r="39" spans="5:41" s="31" customFormat="1" ht="15" customHeight="1" x14ac:dyDescent="0.3">
      <c r="E39" s="31" t="s">
        <v>131</v>
      </c>
      <c r="F39" s="31" t="s">
        <v>140</v>
      </c>
      <c r="G39" s="31" t="s">
        <v>339</v>
      </c>
      <c r="H39" s="31" t="s">
        <v>759</v>
      </c>
      <c r="I39" s="31" t="s">
        <v>594</v>
      </c>
      <c r="J39" s="31" t="s">
        <v>610</v>
      </c>
      <c r="K39" s="31" t="s">
        <v>686</v>
      </c>
      <c r="L39" s="31" t="s">
        <v>254</v>
      </c>
      <c r="M39" s="31" t="s">
        <v>611</v>
      </c>
      <c r="N39" s="31" t="s">
        <v>144</v>
      </c>
      <c r="O39" s="31">
        <v>16</v>
      </c>
      <c r="P39" s="31" t="s">
        <v>144</v>
      </c>
      <c r="Q39" s="31" t="s">
        <v>144</v>
      </c>
      <c r="R39" s="31" t="s">
        <v>144</v>
      </c>
      <c r="S39" s="31" t="s">
        <v>144</v>
      </c>
      <c r="T39" s="31" t="s">
        <v>274</v>
      </c>
      <c r="U39" s="31" t="s">
        <v>275</v>
      </c>
      <c r="V39" s="31" t="s">
        <v>341</v>
      </c>
      <c r="W39" s="31" t="s">
        <v>144</v>
      </c>
      <c r="X39" s="31">
        <v>0.89300000000000002</v>
      </c>
      <c r="Y39" s="31" t="s">
        <v>144</v>
      </c>
      <c r="Z39" s="31" t="s">
        <v>144</v>
      </c>
      <c r="AA39" s="31" t="s">
        <v>144</v>
      </c>
      <c r="AB39" s="31" t="s">
        <v>144</v>
      </c>
      <c r="AC39" s="31">
        <v>22</v>
      </c>
      <c r="AD39" s="31" t="s">
        <v>750</v>
      </c>
      <c r="AF39" s="31" t="s">
        <v>583</v>
      </c>
      <c r="AG39" s="31" t="s">
        <v>343</v>
      </c>
      <c r="AJ39" s="31" t="s">
        <v>164</v>
      </c>
      <c r="AK39" s="31" t="s">
        <v>144</v>
      </c>
      <c r="AL39" s="31" t="s">
        <v>144</v>
      </c>
      <c r="AM39" s="31" t="s">
        <v>144</v>
      </c>
      <c r="AO39" s="31" t="s">
        <v>144</v>
      </c>
    </row>
    <row r="40" spans="5:41" s="31" customFormat="1" ht="15" customHeight="1" x14ac:dyDescent="0.3"/>
    <row r="41" spans="5:41" s="31" customFormat="1" ht="15" customHeight="1" x14ac:dyDescent="0.3"/>
    <row r="42" spans="5:41" s="31" customFormat="1" ht="15" customHeight="1" x14ac:dyDescent="0.3"/>
    <row r="43" spans="5:41" s="31" customFormat="1" ht="15" customHeight="1" x14ac:dyDescent="0.3"/>
    <row r="44" spans="5:41" s="31" customFormat="1" ht="15" customHeight="1" x14ac:dyDescent="0.3"/>
    <row r="45" spans="5:41" s="31" customFormat="1" ht="15" customHeight="1" x14ac:dyDescent="0.3"/>
    <row r="65" spans="21:21" s="31" customFormat="1" ht="15" customHeight="1" x14ac:dyDescent="0.3"/>
    <row r="66" spans="21:21" s="31" customFormat="1" ht="15" customHeight="1" x14ac:dyDescent="0.3">
      <c r="U66" s="376"/>
    </row>
    <row r="67" spans="21:21" s="31" customFormat="1" ht="15" customHeight="1" x14ac:dyDescent="0.3">
      <c r="U67" s="376"/>
    </row>
    <row r="68" spans="21:21" s="31" customFormat="1" ht="15" customHeight="1" x14ac:dyDescent="0.3">
      <c r="U68" s="376"/>
    </row>
    <row r="69" spans="21:21" s="31" customFormat="1" ht="15" customHeight="1" x14ac:dyDescent="0.3">
      <c r="U69" s="376"/>
    </row>
    <row r="70" spans="21:21" s="31" customFormat="1" ht="15" customHeight="1" x14ac:dyDescent="0.3">
      <c r="U70" s="376"/>
    </row>
    <row r="71" spans="21:21" s="31" customFormat="1" ht="15" customHeight="1" x14ac:dyDescent="0.3"/>
    <row r="72" spans="21:21" s="31" customFormat="1" ht="15" customHeight="1" x14ac:dyDescent="0.3"/>
    <row r="73" spans="21:21" s="31" customFormat="1" ht="15" customHeight="1" x14ac:dyDescent="0.3"/>
    <row r="74" spans="21:21" s="31" customFormat="1" ht="15" customHeight="1" x14ac:dyDescent="0.3"/>
    <row r="75" spans="21:21" s="31" customFormat="1" ht="15" customHeight="1" x14ac:dyDescent="0.3"/>
    <row r="76" spans="21:21" s="31" customFormat="1" ht="15" customHeight="1" x14ac:dyDescent="0.3"/>
    <row r="77" spans="21:21" s="31" customFormat="1" ht="15" customHeight="1" x14ac:dyDescent="0.3"/>
    <row r="78" spans="21:21" s="31" customFormat="1" ht="15" customHeight="1" x14ac:dyDescent="0.3"/>
    <row r="79" spans="21:21" s="31" customFormat="1" ht="15" customHeight="1" x14ac:dyDescent="0.3"/>
    <row r="80" spans="21:21" s="31" customFormat="1" ht="15" customHeight="1" x14ac:dyDescent="0.3"/>
    <row r="81" s="31" customFormat="1" ht="15" customHeight="1" x14ac:dyDescent="0.3"/>
    <row r="82" s="31" customFormat="1" ht="15" customHeight="1" x14ac:dyDescent="0.3"/>
    <row r="83" s="31" customFormat="1" ht="15" customHeight="1" x14ac:dyDescent="0.3"/>
    <row r="84" s="31" customFormat="1" ht="15" customHeight="1" x14ac:dyDescent="0.3"/>
    <row r="85" s="31" customFormat="1" ht="15" customHeight="1" x14ac:dyDescent="0.3"/>
    <row r="86" s="31" customFormat="1" ht="15" customHeight="1" x14ac:dyDescent="0.3"/>
    <row r="87" s="31" customFormat="1" ht="15" customHeight="1" x14ac:dyDescent="0.3"/>
    <row r="88" s="31" customFormat="1" ht="15" customHeight="1" x14ac:dyDescent="0.3"/>
    <row r="89" s="31" customFormat="1" ht="15" customHeight="1" x14ac:dyDescent="0.3"/>
    <row r="90" s="31" customFormat="1" ht="15" customHeight="1" x14ac:dyDescent="0.3"/>
    <row r="91" s="31" customFormat="1" ht="15" customHeight="1" x14ac:dyDescent="0.3"/>
    <row r="92" s="31" customFormat="1" ht="15" customHeight="1" x14ac:dyDescent="0.3"/>
    <row r="93" s="31" customFormat="1" ht="15" customHeight="1" x14ac:dyDescent="0.3"/>
    <row r="94" s="31" customFormat="1" ht="15" customHeight="1" x14ac:dyDescent="0.3"/>
    <row r="95" s="31" customFormat="1" ht="15" customHeight="1" x14ac:dyDescent="0.3"/>
    <row r="96" s="31" customFormat="1" ht="15" customHeight="1" x14ac:dyDescent="0.3"/>
    <row r="97" s="31" customFormat="1" ht="15" customHeight="1" x14ac:dyDescent="0.3"/>
    <row r="98" s="31" customFormat="1" ht="15" customHeight="1" x14ac:dyDescent="0.3"/>
    <row r="99" s="31" customFormat="1" ht="15" customHeight="1" x14ac:dyDescent="0.3"/>
    <row r="100" s="31" customFormat="1" ht="15" customHeight="1" x14ac:dyDescent="0.3"/>
    <row r="101" s="31" customFormat="1" ht="15" customHeight="1" x14ac:dyDescent="0.3"/>
  </sheetData>
  <mergeCells count="1">
    <mergeCell ref="O1:S1"/>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217"/>
  <sheetViews>
    <sheetView tabSelected="1" topLeftCell="D1" zoomScale="80" zoomScaleNormal="80" workbookViewId="0">
      <pane xSplit="2" ySplit="4" topLeftCell="F32" activePane="bottomRight" state="frozen"/>
      <selection activeCell="D1" sqref="D1"/>
      <selection pane="topRight" activeCell="F1" sqref="F1"/>
      <selection pane="bottomLeft" activeCell="D5" sqref="D5"/>
      <selection pane="bottomRight" activeCell="AG38" sqref="AG38"/>
    </sheetView>
  </sheetViews>
  <sheetFormatPr defaultColWidth="48.109375" defaultRowHeight="15" customHeight="1" x14ac:dyDescent="0.3"/>
  <cols>
    <col min="1" max="1" width="10.88671875" bestFit="1" customWidth="1"/>
    <col min="2" max="2" width="8.88671875" bestFit="1" customWidth="1"/>
    <col min="3" max="3" width="22" bestFit="1" customWidth="1"/>
    <col min="4" max="4" width="8.88671875" bestFit="1" customWidth="1"/>
    <col min="5" max="5" width="46.109375" bestFit="1" customWidth="1"/>
    <col min="6" max="6" width="40.44140625" customWidth="1"/>
    <col min="7" max="7" width="41.88671875" customWidth="1"/>
    <col min="8" max="8" width="31" customWidth="1"/>
    <col min="9" max="9" width="18.109375" customWidth="1"/>
    <col min="10" max="10" width="25.88671875" customWidth="1"/>
    <col min="11" max="11" width="21.33203125" customWidth="1"/>
    <col min="12" max="16" width="18.109375" customWidth="1"/>
    <col min="17" max="17" width="71.109375" customWidth="1"/>
    <col min="18" max="18" width="75.88671875" customWidth="1"/>
    <col min="19" max="19" width="34.44140625" customWidth="1"/>
    <col min="20" max="20" width="28.33203125" customWidth="1"/>
    <col min="21" max="22" width="28.44140625" customWidth="1"/>
    <col min="23" max="23" width="34.109375" customWidth="1"/>
    <col min="24" max="24" width="47.5546875" customWidth="1"/>
    <col min="25" max="25" width="27.33203125" customWidth="1"/>
    <col min="26" max="32" width="33.5546875" customWidth="1"/>
    <col min="33" max="33" width="29.6640625" customWidth="1"/>
    <col min="34" max="34" width="28.109375" customWidth="1"/>
    <col min="35" max="35" width="48.44140625" customWidth="1"/>
    <col min="36" max="36" width="24" customWidth="1"/>
    <col min="37" max="37" width="33.44140625" customWidth="1"/>
    <col min="38" max="38" width="27.33203125" customWidth="1"/>
    <col min="39" max="39" width="49.33203125" customWidth="1"/>
    <col min="40" max="40" width="54" bestFit="1" customWidth="1"/>
    <col min="41" max="41" width="45.33203125" customWidth="1"/>
    <col min="42" max="42" width="31.88671875" customWidth="1"/>
    <col min="43" max="43" width="18.5546875" customWidth="1"/>
    <col min="44" max="44" width="51.6640625" customWidth="1"/>
    <col min="45" max="45" width="28" customWidth="1"/>
    <col min="46" max="46" width="14.44140625" customWidth="1"/>
    <col min="47" max="47" width="11.109375" customWidth="1"/>
  </cols>
  <sheetData>
    <row r="1" spans="1:47" ht="28.5" customHeight="1" x14ac:dyDescent="0.3">
      <c r="A1" s="19" t="s">
        <v>0</v>
      </c>
      <c r="B1" s="16" t="s">
        <v>52</v>
      </c>
      <c r="C1" s="17" t="s">
        <v>53</v>
      </c>
      <c r="D1" s="17" t="s">
        <v>54</v>
      </c>
      <c r="E1" s="12" t="s">
        <v>55</v>
      </c>
      <c r="F1" s="13" t="s">
        <v>56</v>
      </c>
      <c r="G1" s="12" t="s">
        <v>57</v>
      </c>
      <c r="H1" s="13" t="s">
        <v>58</v>
      </c>
      <c r="I1" s="24" t="s">
        <v>158</v>
      </c>
      <c r="J1" s="24" t="s">
        <v>162</v>
      </c>
      <c r="K1" s="24" t="s">
        <v>159</v>
      </c>
      <c r="L1" s="24" t="s">
        <v>160</v>
      </c>
      <c r="M1" s="24" t="s">
        <v>161</v>
      </c>
      <c r="N1" s="24" t="s">
        <v>161</v>
      </c>
      <c r="O1" s="13" t="s">
        <v>59</v>
      </c>
      <c r="P1" s="13" t="s">
        <v>60</v>
      </c>
      <c r="Q1" s="17" t="s">
        <v>61</v>
      </c>
      <c r="R1" s="13" t="s">
        <v>62</v>
      </c>
      <c r="S1" s="24" t="s">
        <v>63</v>
      </c>
      <c r="T1" s="13" t="s">
        <v>63</v>
      </c>
      <c r="U1" s="12" t="s">
        <v>64</v>
      </c>
      <c r="V1" s="12" t="s">
        <v>575</v>
      </c>
      <c r="W1" s="12" t="s">
        <v>199</v>
      </c>
      <c r="X1" s="13" t="s">
        <v>200</v>
      </c>
      <c r="Y1" s="12" t="s">
        <v>577</v>
      </c>
      <c r="Z1" s="17" t="s">
        <v>571</v>
      </c>
      <c r="AA1" s="17" t="s">
        <v>572</v>
      </c>
      <c r="AB1" s="17" t="s">
        <v>573</v>
      </c>
      <c r="AC1" s="17" t="s">
        <v>580</v>
      </c>
      <c r="AD1" s="17" t="s">
        <v>581</v>
      </c>
      <c r="AE1" s="17" t="s">
        <v>574</v>
      </c>
      <c r="AF1" s="17" t="s">
        <v>5</v>
      </c>
      <c r="AG1" s="13" t="s">
        <v>69</v>
      </c>
      <c r="AH1" s="24" t="s">
        <v>68</v>
      </c>
      <c r="AI1" s="24" t="s">
        <v>69</v>
      </c>
      <c r="AJ1" s="24" t="s">
        <v>579</v>
      </c>
      <c r="AK1" s="24" t="s">
        <v>68</v>
      </c>
      <c r="AL1" s="12" t="s">
        <v>66</v>
      </c>
      <c r="AM1" s="24" t="s">
        <v>69</v>
      </c>
      <c r="AN1" s="12" t="s">
        <v>70</v>
      </c>
      <c r="AO1" s="13" t="s">
        <v>71</v>
      </c>
      <c r="AP1" s="12" t="s">
        <v>72</v>
      </c>
      <c r="AQ1" s="27" t="s">
        <v>73</v>
      </c>
      <c r="AR1" s="12" t="s">
        <v>74</v>
      </c>
      <c r="AS1" s="12" t="s">
        <v>76</v>
      </c>
      <c r="AT1" s="13" t="s">
        <v>16</v>
      </c>
      <c r="AU1" s="18" t="s">
        <v>77</v>
      </c>
    </row>
    <row r="2" spans="1:47" ht="38.25" customHeight="1" x14ac:dyDescent="0.3">
      <c r="A2" s="19" t="s">
        <v>17</v>
      </c>
      <c r="B2" s="1" t="s">
        <v>78</v>
      </c>
      <c r="C2" s="2" t="s">
        <v>79</v>
      </c>
      <c r="D2" s="2"/>
      <c r="E2" s="3" t="s">
        <v>80</v>
      </c>
      <c r="F2" s="4" t="s">
        <v>81</v>
      </c>
      <c r="G2" s="3" t="s">
        <v>82</v>
      </c>
      <c r="H2" s="4" t="s">
        <v>83</v>
      </c>
      <c r="I2" s="25"/>
      <c r="J2" s="25"/>
      <c r="K2" s="25"/>
      <c r="L2" s="25"/>
      <c r="M2" s="25"/>
      <c r="N2" s="25"/>
      <c r="O2" s="4" t="s">
        <v>84</v>
      </c>
      <c r="P2" s="4" t="s">
        <v>85</v>
      </c>
      <c r="Q2" s="2" t="s">
        <v>86</v>
      </c>
      <c r="R2" s="4" t="s">
        <v>87</v>
      </c>
      <c r="S2" s="25" t="s">
        <v>145</v>
      </c>
      <c r="T2" s="4" t="s">
        <v>88</v>
      </c>
      <c r="U2" s="3" t="s">
        <v>89</v>
      </c>
      <c r="V2" s="3"/>
      <c r="W2" s="3"/>
      <c r="X2" s="4" t="s">
        <v>90</v>
      </c>
      <c r="Y2" s="3"/>
      <c r="Z2" s="2"/>
      <c r="AA2" s="379"/>
      <c r="AB2" s="2"/>
      <c r="AC2" s="2"/>
      <c r="AD2" s="2"/>
      <c r="AE2" s="2"/>
      <c r="AF2" s="2"/>
      <c r="AG2" s="4" t="s">
        <v>94</v>
      </c>
      <c r="AH2" s="25" t="s">
        <v>93</v>
      </c>
      <c r="AI2" s="25" t="s">
        <v>94</v>
      </c>
      <c r="AJ2" s="25"/>
      <c r="AK2" s="25" t="s">
        <v>93</v>
      </c>
      <c r="AL2" s="3" t="s">
        <v>91</v>
      </c>
      <c r="AM2" s="25" t="s">
        <v>94</v>
      </c>
      <c r="AN2" s="3" t="s">
        <v>95</v>
      </c>
      <c r="AO2" s="4" t="s">
        <v>96</v>
      </c>
      <c r="AP2" s="3" t="s">
        <v>97</v>
      </c>
      <c r="AQ2" s="28" t="s">
        <v>98</v>
      </c>
      <c r="AR2" s="3" t="s">
        <v>99</v>
      </c>
      <c r="AS2" s="3" t="s">
        <v>101</v>
      </c>
      <c r="AT2" s="4"/>
      <c r="AU2" s="14"/>
    </row>
    <row r="3" spans="1:47" ht="39" customHeight="1" x14ac:dyDescent="0.3">
      <c r="A3" s="19" t="s">
        <v>34</v>
      </c>
      <c r="B3" s="1" t="s">
        <v>102</v>
      </c>
      <c r="C3" s="2" t="s">
        <v>103</v>
      </c>
      <c r="D3" s="2"/>
      <c r="E3" s="3" t="s">
        <v>104</v>
      </c>
      <c r="F3" s="4" t="s">
        <v>105</v>
      </c>
      <c r="G3" s="3" t="s">
        <v>106</v>
      </c>
      <c r="H3" s="4" t="s">
        <v>107</v>
      </c>
      <c r="I3" s="25"/>
      <c r="J3" s="25"/>
      <c r="K3" s="25"/>
      <c r="L3" s="25"/>
      <c r="M3" s="25"/>
      <c r="N3" s="25"/>
      <c r="O3" s="4">
        <v>12</v>
      </c>
      <c r="P3" s="4" t="s">
        <v>108</v>
      </c>
      <c r="Q3" s="2" t="s">
        <v>109</v>
      </c>
      <c r="R3" s="4" t="s">
        <v>110</v>
      </c>
      <c r="S3" s="25">
        <v>7.5</v>
      </c>
      <c r="T3" s="4" t="s">
        <v>111</v>
      </c>
      <c r="U3" s="3" t="s">
        <v>112</v>
      </c>
      <c r="V3" s="3"/>
      <c r="W3" s="3"/>
      <c r="X3" s="4" t="s">
        <v>113</v>
      </c>
      <c r="Y3" s="3"/>
      <c r="Z3" s="2"/>
      <c r="AA3" s="2"/>
      <c r="AB3" s="2"/>
      <c r="AC3" s="2"/>
      <c r="AD3" s="2"/>
      <c r="AE3" s="2"/>
      <c r="AF3" s="2"/>
      <c r="AG3" s="4" t="s">
        <v>117</v>
      </c>
      <c r="AH3" s="25" t="s">
        <v>578</v>
      </c>
      <c r="AI3" s="25" t="s">
        <v>117</v>
      </c>
      <c r="AJ3" s="25"/>
      <c r="AK3" s="25" t="s">
        <v>116</v>
      </c>
      <c r="AL3" s="3" t="s">
        <v>114</v>
      </c>
      <c r="AM3" s="25" t="s">
        <v>117</v>
      </c>
      <c r="AN3" s="3" t="s">
        <v>118</v>
      </c>
      <c r="AO3" s="4" t="s">
        <v>119</v>
      </c>
      <c r="AP3" s="3" t="s">
        <v>120</v>
      </c>
      <c r="AQ3" s="28" t="s">
        <v>121</v>
      </c>
      <c r="AR3" s="3" t="s">
        <v>122</v>
      </c>
      <c r="AS3" s="3" t="s">
        <v>124</v>
      </c>
      <c r="AT3" s="4" t="b">
        <v>0</v>
      </c>
      <c r="AU3" s="14" t="s">
        <v>125</v>
      </c>
    </row>
    <row r="4" spans="1:47" ht="13.5" customHeight="1" x14ac:dyDescent="0.3">
      <c r="A4" s="19" t="s">
        <v>48</v>
      </c>
      <c r="B4" s="5" t="s">
        <v>49</v>
      </c>
      <c r="C4" s="6" t="s">
        <v>49</v>
      </c>
      <c r="D4" s="6"/>
      <c r="E4" s="8" t="s">
        <v>49</v>
      </c>
      <c r="F4" s="9" t="s">
        <v>49</v>
      </c>
      <c r="G4" s="8" t="s">
        <v>49</v>
      </c>
      <c r="H4" s="9" t="s">
        <v>49</v>
      </c>
      <c r="I4" s="30"/>
      <c r="J4" s="30"/>
      <c r="K4" s="30"/>
      <c r="L4" s="30"/>
      <c r="M4" s="30"/>
      <c r="N4" s="30"/>
      <c r="O4" s="9" t="s">
        <v>49</v>
      </c>
      <c r="P4" s="9" t="s">
        <v>49</v>
      </c>
      <c r="Q4" s="7" t="s">
        <v>50</v>
      </c>
      <c r="R4" s="10" t="s">
        <v>50</v>
      </c>
      <c r="S4" s="26" t="s">
        <v>50</v>
      </c>
      <c r="T4" s="10" t="s">
        <v>50</v>
      </c>
      <c r="U4" s="11" t="s">
        <v>50</v>
      </c>
      <c r="V4" s="11"/>
      <c r="W4" s="11"/>
      <c r="X4" s="10" t="s">
        <v>50</v>
      </c>
      <c r="Y4" s="11"/>
      <c r="Z4" s="7"/>
      <c r="AA4" s="7"/>
      <c r="AB4" s="7"/>
      <c r="AC4" s="7"/>
      <c r="AD4" s="7"/>
      <c r="AE4" s="7"/>
      <c r="AF4" s="7"/>
      <c r="AG4" s="10" t="s">
        <v>50</v>
      </c>
      <c r="AH4" s="26" t="s">
        <v>51</v>
      </c>
      <c r="AI4" s="26" t="s">
        <v>50</v>
      </c>
      <c r="AJ4" s="26"/>
      <c r="AK4" s="26" t="s">
        <v>51</v>
      </c>
      <c r="AL4" s="11" t="s">
        <v>50</v>
      </c>
      <c r="AM4" s="26" t="s">
        <v>50</v>
      </c>
      <c r="AN4" s="11" t="s">
        <v>50</v>
      </c>
      <c r="AO4" s="10" t="s">
        <v>50</v>
      </c>
      <c r="AP4" s="11" t="s">
        <v>50</v>
      </c>
      <c r="AQ4" s="29" t="s">
        <v>50</v>
      </c>
      <c r="AR4" s="11" t="s">
        <v>50</v>
      </c>
      <c r="AS4" s="11" t="s">
        <v>50</v>
      </c>
      <c r="AT4" s="9" t="s">
        <v>49</v>
      </c>
      <c r="AU4" s="15" t="s">
        <v>49</v>
      </c>
    </row>
    <row r="5" spans="1:47" s="31" customFormat="1" ht="15" customHeight="1" x14ac:dyDescent="0.3">
      <c r="E5" s="31" t="s">
        <v>132</v>
      </c>
      <c r="F5" s="31" t="s">
        <v>564</v>
      </c>
      <c r="G5" s="31" t="s">
        <v>153</v>
      </c>
      <c r="H5" s="31" t="s">
        <v>154</v>
      </c>
      <c r="I5" s="31" t="s">
        <v>594</v>
      </c>
      <c r="J5" s="31" t="s">
        <v>610</v>
      </c>
      <c r="K5" s="31" t="s">
        <v>619</v>
      </c>
      <c r="L5" s="31" t="s">
        <v>254</v>
      </c>
      <c r="M5" s="375" t="s">
        <v>618</v>
      </c>
      <c r="N5" s="375"/>
      <c r="O5" s="31">
        <v>16</v>
      </c>
      <c r="P5" s="31" t="s">
        <v>144</v>
      </c>
      <c r="Q5" s="31" t="s">
        <v>624</v>
      </c>
      <c r="R5" s="31" t="s">
        <v>335</v>
      </c>
      <c r="S5" s="31" t="s">
        <v>341</v>
      </c>
      <c r="T5" s="31" t="s">
        <v>345</v>
      </c>
      <c r="U5" s="31" t="s">
        <v>155</v>
      </c>
      <c r="V5" s="31" t="s">
        <v>576</v>
      </c>
      <c r="W5" s="31" t="s">
        <v>144</v>
      </c>
      <c r="X5" s="31" t="s">
        <v>144</v>
      </c>
      <c r="Y5" s="31" t="s">
        <v>144</v>
      </c>
      <c r="Z5" s="33">
        <v>0.94</v>
      </c>
      <c r="AA5" s="31" t="s">
        <v>144</v>
      </c>
      <c r="AB5" s="31" t="s">
        <v>144</v>
      </c>
      <c r="AC5" s="31" t="s">
        <v>144</v>
      </c>
      <c r="AD5" s="31" t="s">
        <v>144</v>
      </c>
      <c r="AE5" s="31" t="s">
        <v>144</v>
      </c>
      <c r="AF5" s="31" t="s">
        <v>144</v>
      </c>
      <c r="AH5" s="31" t="s">
        <v>196</v>
      </c>
      <c r="AI5" s="31" t="s">
        <v>347</v>
      </c>
      <c r="AJ5" s="31" t="s">
        <v>156</v>
      </c>
      <c r="AK5" s="31" t="s">
        <v>144</v>
      </c>
      <c r="AL5" s="31" t="s">
        <v>346</v>
      </c>
      <c r="AM5" s="31" t="s">
        <v>144</v>
      </c>
      <c r="AN5" s="31" t="s">
        <v>164</v>
      </c>
      <c r="AO5" s="31" t="s">
        <v>758</v>
      </c>
      <c r="AP5" s="31" t="s">
        <v>144</v>
      </c>
      <c r="AQ5" s="31" t="s">
        <v>144</v>
      </c>
      <c r="AR5" s="31" t="s">
        <v>144</v>
      </c>
    </row>
    <row r="6" spans="1:47" s="31" customFormat="1" ht="15" customHeight="1" x14ac:dyDescent="0.3">
      <c r="E6" s="31" t="s">
        <v>132</v>
      </c>
      <c r="F6" s="31" t="s">
        <v>564</v>
      </c>
      <c r="G6" s="31" t="s">
        <v>153</v>
      </c>
      <c r="H6" s="31" t="s">
        <v>154</v>
      </c>
      <c r="I6" s="31" t="s">
        <v>594</v>
      </c>
      <c r="J6" s="31" t="s">
        <v>610</v>
      </c>
      <c r="K6" s="31" t="s">
        <v>621</v>
      </c>
      <c r="L6" s="31" t="s">
        <v>660</v>
      </c>
      <c r="M6" s="375" t="s">
        <v>623</v>
      </c>
      <c r="N6" s="375"/>
      <c r="O6" s="31">
        <v>16</v>
      </c>
      <c r="P6" s="31" t="s">
        <v>144</v>
      </c>
      <c r="Q6" s="31" t="s">
        <v>661</v>
      </c>
      <c r="R6" s="31" t="s">
        <v>335</v>
      </c>
      <c r="S6" s="31" t="s">
        <v>341</v>
      </c>
      <c r="T6" s="31" t="s">
        <v>345</v>
      </c>
      <c r="U6" s="31" t="s">
        <v>155</v>
      </c>
      <c r="V6" s="31" t="s">
        <v>576</v>
      </c>
      <c r="W6" s="31" t="s">
        <v>144</v>
      </c>
      <c r="X6" s="31" t="s">
        <v>144</v>
      </c>
      <c r="Y6" s="31" t="s">
        <v>144</v>
      </c>
      <c r="Z6" s="33">
        <v>0.94</v>
      </c>
      <c r="AA6" s="31" t="s">
        <v>144</v>
      </c>
      <c r="AB6" s="31" t="s">
        <v>144</v>
      </c>
      <c r="AC6" s="31" t="s">
        <v>144</v>
      </c>
      <c r="AD6" s="31" t="s">
        <v>144</v>
      </c>
      <c r="AE6" s="31" t="s">
        <v>144</v>
      </c>
      <c r="AF6" s="31" t="s">
        <v>144</v>
      </c>
      <c r="AH6" s="31" t="s">
        <v>196</v>
      </c>
      <c r="AI6" s="31" t="s">
        <v>347</v>
      </c>
      <c r="AJ6" s="31" t="s">
        <v>156</v>
      </c>
      <c r="AK6" s="31" t="s">
        <v>144</v>
      </c>
      <c r="AL6" s="31" t="s">
        <v>346</v>
      </c>
      <c r="AM6" s="31" t="s">
        <v>144</v>
      </c>
      <c r="AN6" s="31" t="s">
        <v>164</v>
      </c>
      <c r="AO6" s="31" t="s">
        <v>758</v>
      </c>
      <c r="AP6" s="31" t="s">
        <v>144</v>
      </c>
      <c r="AQ6" s="31" t="s">
        <v>144</v>
      </c>
      <c r="AR6" s="31" t="s">
        <v>144</v>
      </c>
    </row>
    <row r="7" spans="1:47" s="31" customFormat="1" ht="15" customHeight="1" x14ac:dyDescent="0.3">
      <c r="E7" s="31" t="s">
        <v>132</v>
      </c>
      <c r="F7" s="31" t="s">
        <v>564</v>
      </c>
      <c r="G7" s="31" t="s">
        <v>153</v>
      </c>
      <c r="H7" s="31" t="s">
        <v>154</v>
      </c>
      <c r="I7" s="31" t="s">
        <v>594</v>
      </c>
      <c r="J7" s="31" t="s">
        <v>610</v>
      </c>
      <c r="K7" s="31" t="s">
        <v>620</v>
      </c>
      <c r="L7" s="31" t="s">
        <v>254</v>
      </c>
      <c r="M7" s="375" t="s">
        <v>618</v>
      </c>
      <c r="N7" s="375"/>
      <c r="O7" s="31">
        <v>16</v>
      </c>
      <c r="P7" s="31" t="s">
        <v>144</v>
      </c>
      <c r="Q7" s="31" t="s">
        <v>624</v>
      </c>
      <c r="R7" s="31" t="s">
        <v>335</v>
      </c>
      <c r="S7" s="31" t="s">
        <v>341</v>
      </c>
      <c r="T7" s="31" t="s">
        <v>345</v>
      </c>
      <c r="U7" s="31" t="s">
        <v>155</v>
      </c>
      <c r="V7" s="31" t="s">
        <v>576</v>
      </c>
      <c r="W7" s="31" t="s">
        <v>144</v>
      </c>
      <c r="X7" s="31" t="s">
        <v>144</v>
      </c>
      <c r="Y7" s="31" t="s">
        <v>144</v>
      </c>
      <c r="Z7" s="33">
        <v>0.94</v>
      </c>
      <c r="AA7" s="31" t="s">
        <v>144</v>
      </c>
      <c r="AB7" s="31" t="s">
        <v>144</v>
      </c>
      <c r="AC7" s="31" t="s">
        <v>144</v>
      </c>
      <c r="AD7" s="31" t="s">
        <v>144</v>
      </c>
      <c r="AE7" s="31" t="s">
        <v>144</v>
      </c>
      <c r="AF7" s="31" t="s">
        <v>144</v>
      </c>
      <c r="AH7" s="31" t="s">
        <v>196</v>
      </c>
      <c r="AI7" s="31" t="s">
        <v>347</v>
      </c>
      <c r="AJ7" s="31" t="s">
        <v>156</v>
      </c>
      <c r="AK7" s="31" t="s">
        <v>144</v>
      </c>
      <c r="AL7" s="31" t="s">
        <v>346</v>
      </c>
      <c r="AM7" s="31" t="s">
        <v>144</v>
      </c>
      <c r="AN7" s="31" t="s">
        <v>164</v>
      </c>
      <c r="AO7" s="31" t="s">
        <v>758</v>
      </c>
      <c r="AP7" s="31" t="s">
        <v>144</v>
      </c>
      <c r="AQ7" s="31" t="s">
        <v>144</v>
      </c>
      <c r="AR7" s="31" t="s">
        <v>144</v>
      </c>
    </row>
    <row r="8" spans="1:47" s="31" customFormat="1" ht="15" customHeight="1" x14ac:dyDescent="0.3">
      <c r="E8" s="31" t="s">
        <v>132</v>
      </c>
      <c r="F8" s="31" t="s">
        <v>564</v>
      </c>
      <c r="G8" s="31" t="s">
        <v>153</v>
      </c>
      <c r="H8" s="31" t="s">
        <v>154</v>
      </c>
      <c r="I8" s="31" t="s">
        <v>594</v>
      </c>
      <c r="J8" s="31" t="s">
        <v>610</v>
      </c>
      <c r="K8" s="31" t="s">
        <v>622</v>
      </c>
      <c r="L8" s="31" t="s">
        <v>660</v>
      </c>
      <c r="M8" s="375" t="s">
        <v>623</v>
      </c>
      <c r="N8" s="375"/>
      <c r="O8" s="31">
        <v>16</v>
      </c>
      <c r="P8" s="31" t="s">
        <v>144</v>
      </c>
      <c r="Q8" s="31" t="s">
        <v>661</v>
      </c>
      <c r="R8" s="31" t="s">
        <v>335</v>
      </c>
      <c r="S8" s="31" t="s">
        <v>341</v>
      </c>
      <c r="T8" s="31" t="s">
        <v>345</v>
      </c>
      <c r="U8" s="31" t="s">
        <v>155</v>
      </c>
      <c r="V8" s="31" t="s">
        <v>576</v>
      </c>
      <c r="W8" s="31" t="s">
        <v>144</v>
      </c>
      <c r="X8" s="31" t="s">
        <v>144</v>
      </c>
      <c r="Y8" s="31" t="s">
        <v>144</v>
      </c>
      <c r="Z8" s="33">
        <v>0.94</v>
      </c>
      <c r="AA8" s="31" t="s">
        <v>144</v>
      </c>
      <c r="AB8" s="31" t="s">
        <v>144</v>
      </c>
      <c r="AC8" s="31" t="s">
        <v>144</v>
      </c>
      <c r="AD8" s="31" t="s">
        <v>144</v>
      </c>
      <c r="AE8" s="31" t="s">
        <v>144</v>
      </c>
      <c r="AF8" s="31" t="s">
        <v>144</v>
      </c>
      <c r="AH8" s="31" t="s">
        <v>196</v>
      </c>
      <c r="AI8" s="31" t="s">
        <v>347</v>
      </c>
      <c r="AJ8" s="31" t="s">
        <v>156</v>
      </c>
      <c r="AK8" s="31" t="s">
        <v>144</v>
      </c>
      <c r="AL8" s="31" t="s">
        <v>346</v>
      </c>
      <c r="AM8" s="31" t="s">
        <v>144</v>
      </c>
      <c r="AN8" s="31" t="s">
        <v>164</v>
      </c>
      <c r="AO8" s="31" t="s">
        <v>758</v>
      </c>
      <c r="AP8" s="31" t="s">
        <v>144</v>
      </c>
      <c r="AQ8" s="31" t="s">
        <v>144</v>
      </c>
      <c r="AR8" s="31" t="s">
        <v>144</v>
      </c>
    </row>
    <row r="9" spans="1:47" s="31" customFormat="1" ht="15" customHeight="1" x14ac:dyDescent="0.3">
      <c r="E9" s="31" t="s">
        <v>132</v>
      </c>
      <c r="F9" s="31" t="s">
        <v>564</v>
      </c>
      <c r="G9" s="31" t="s">
        <v>153</v>
      </c>
      <c r="H9" s="31" t="s">
        <v>154</v>
      </c>
      <c r="I9" s="31" t="s">
        <v>594</v>
      </c>
      <c r="J9" s="31" t="s">
        <v>607</v>
      </c>
      <c r="K9" s="31" t="s">
        <v>628</v>
      </c>
      <c r="L9" s="31" t="s">
        <v>254</v>
      </c>
      <c r="M9" s="375" t="s">
        <v>623</v>
      </c>
      <c r="N9" s="375"/>
      <c r="O9" s="31">
        <v>16</v>
      </c>
      <c r="P9" s="31" t="s">
        <v>144</v>
      </c>
      <c r="Q9" s="31" t="s">
        <v>624</v>
      </c>
      <c r="R9" s="31" t="s">
        <v>335</v>
      </c>
      <c r="S9" s="31" t="s">
        <v>341</v>
      </c>
      <c r="T9" s="31" t="s">
        <v>345</v>
      </c>
      <c r="U9" s="31" t="s">
        <v>155</v>
      </c>
      <c r="V9" s="31" t="s">
        <v>576</v>
      </c>
      <c r="W9" s="31" t="s">
        <v>144</v>
      </c>
      <c r="X9" s="31" t="s">
        <v>144</v>
      </c>
      <c r="Y9" s="31" t="s">
        <v>144</v>
      </c>
      <c r="Z9" s="33">
        <v>0.94</v>
      </c>
      <c r="AA9" s="31" t="s">
        <v>144</v>
      </c>
      <c r="AB9" s="31" t="s">
        <v>144</v>
      </c>
      <c r="AC9" s="31" t="s">
        <v>144</v>
      </c>
      <c r="AD9" s="31" t="s">
        <v>144</v>
      </c>
      <c r="AE9" s="31" t="s">
        <v>144</v>
      </c>
      <c r="AF9" s="31" t="s">
        <v>144</v>
      </c>
      <c r="AH9" s="31" t="s">
        <v>196</v>
      </c>
      <c r="AI9" s="31" t="s">
        <v>347</v>
      </c>
      <c r="AJ9" s="31" t="s">
        <v>156</v>
      </c>
      <c r="AK9" s="31" t="s">
        <v>144</v>
      </c>
      <c r="AL9" s="31" t="s">
        <v>346</v>
      </c>
      <c r="AM9" s="31" t="s">
        <v>144</v>
      </c>
      <c r="AN9" s="31" t="s">
        <v>164</v>
      </c>
      <c r="AO9" s="31" t="s">
        <v>758</v>
      </c>
      <c r="AP9" s="31" t="s">
        <v>144</v>
      </c>
      <c r="AQ9" s="31" t="s">
        <v>144</v>
      </c>
      <c r="AR9" s="31" t="s">
        <v>144</v>
      </c>
    </row>
    <row r="10" spans="1:47" s="31" customFormat="1" ht="15" customHeight="1" x14ac:dyDescent="0.3">
      <c r="E10" s="31" t="s">
        <v>132</v>
      </c>
      <c r="F10" s="31" t="s">
        <v>564</v>
      </c>
      <c r="G10" s="31" t="s">
        <v>153</v>
      </c>
      <c r="H10" s="31" t="s">
        <v>154</v>
      </c>
      <c r="I10" s="31" t="s">
        <v>594</v>
      </c>
      <c r="J10" s="31" t="s">
        <v>607</v>
      </c>
      <c r="K10" s="31" t="s">
        <v>629</v>
      </c>
      <c r="L10" s="31" t="s">
        <v>660</v>
      </c>
      <c r="M10" s="375" t="s">
        <v>623</v>
      </c>
      <c r="N10" s="375"/>
      <c r="O10" s="31">
        <v>16</v>
      </c>
      <c r="P10" s="31" t="s">
        <v>144</v>
      </c>
      <c r="Q10" s="31" t="s">
        <v>661</v>
      </c>
      <c r="R10" s="31" t="s">
        <v>335</v>
      </c>
      <c r="S10" s="31" t="s">
        <v>341</v>
      </c>
      <c r="T10" s="31" t="s">
        <v>345</v>
      </c>
      <c r="U10" s="31" t="s">
        <v>155</v>
      </c>
      <c r="V10" s="31" t="s">
        <v>576</v>
      </c>
      <c r="W10" s="31" t="s">
        <v>144</v>
      </c>
      <c r="X10" s="31" t="s">
        <v>144</v>
      </c>
      <c r="Y10" s="31" t="s">
        <v>144</v>
      </c>
      <c r="Z10" s="33">
        <v>0.94</v>
      </c>
      <c r="AA10" s="31" t="s">
        <v>144</v>
      </c>
      <c r="AB10" s="31" t="s">
        <v>144</v>
      </c>
      <c r="AC10" s="31" t="s">
        <v>144</v>
      </c>
      <c r="AD10" s="31" t="s">
        <v>144</v>
      </c>
      <c r="AE10" s="31" t="s">
        <v>144</v>
      </c>
      <c r="AF10" s="31" t="s">
        <v>144</v>
      </c>
      <c r="AH10" s="31" t="s">
        <v>196</v>
      </c>
      <c r="AI10" s="31" t="s">
        <v>347</v>
      </c>
      <c r="AJ10" s="31" t="s">
        <v>156</v>
      </c>
      <c r="AK10" s="31" t="s">
        <v>144</v>
      </c>
      <c r="AL10" s="31" t="s">
        <v>346</v>
      </c>
      <c r="AM10" s="31" t="s">
        <v>144</v>
      </c>
      <c r="AN10" s="31" t="s">
        <v>164</v>
      </c>
      <c r="AO10" s="31" t="s">
        <v>758</v>
      </c>
      <c r="AP10" s="31" t="s">
        <v>144</v>
      </c>
      <c r="AQ10" s="31" t="s">
        <v>144</v>
      </c>
      <c r="AR10" s="31" t="s">
        <v>144</v>
      </c>
    </row>
    <row r="11" spans="1:47" s="31" customFormat="1" ht="15" customHeight="1" x14ac:dyDescent="0.3">
      <c r="E11" s="31" t="s">
        <v>132</v>
      </c>
      <c r="F11" s="31" t="s">
        <v>564</v>
      </c>
      <c r="G11" s="31" t="s">
        <v>153</v>
      </c>
      <c r="H11" s="31" t="s">
        <v>154</v>
      </c>
      <c r="I11" s="31" t="s">
        <v>594</v>
      </c>
      <c r="J11" s="31" t="s">
        <v>607</v>
      </c>
      <c r="K11" s="31" t="s">
        <v>630</v>
      </c>
      <c r="L11" s="31" t="s">
        <v>254</v>
      </c>
      <c r="M11" s="375" t="s">
        <v>623</v>
      </c>
      <c r="N11" s="375"/>
      <c r="O11" s="31">
        <v>16</v>
      </c>
      <c r="P11" s="31" t="s">
        <v>144</v>
      </c>
      <c r="Q11" s="31" t="s">
        <v>624</v>
      </c>
      <c r="R11" s="31" t="s">
        <v>335</v>
      </c>
      <c r="S11" s="31" t="s">
        <v>341</v>
      </c>
      <c r="T11" s="31" t="s">
        <v>345</v>
      </c>
      <c r="U11" s="31" t="s">
        <v>155</v>
      </c>
      <c r="V11" s="31" t="s">
        <v>576</v>
      </c>
      <c r="W11" s="31" t="s">
        <v>144</v>
      </c>
      <c r="X11" s="31" t="s">
        <v>144</v>
      </c>
      <c r="Y11" s="31" t="s">
        <v>144</v>
      </c>
      <c r="Z11" s="33">
        <v>0.94</v>
      </c>
      <c r="AA11" s="31" t="s">
        <v>144</v>
      </c>
      <c r="AB11" s="31" t="s">
        <v>144</v>
      </c>
      <c r="AC11" s="31" t="s">
        <v>144</v>
      </c>
      <c r="AD11" s="31" t="s">
        <v>144</v>
      </c>
      <c r="AE11" s="31" t="s">
        <v>144</v>
      </c>
      <c r="AF11" s="31" t="s">
        <v>144</v>
      </c>
      <c r="AH11" s="31" t="s">
        <v>196</v>
      </c>
      <c r="AI11" s="31" t="s">
        <v>347</v>
      </c>
      <c r="AJ11" s="31" t="s">
        <v>156</v>
      </c>
      <c r="AK11" s="31" t="s">
        <v>144</v>
      </c>
      <c r="AL11" s="31" t="s">
        <v>346</v>
      </c>
      <c r="AM11" s="31" t="s">
        <v>144</v>
      </c>
      <c r="AN11" s="31" t="s">
        <v>164</v>
      </c>
      <c r="AO11" s="31" t="s">
        <v>758</v>
      </c>
      <c r="AP11" s="31" t="s">
        <v>144</v>
      </c>
      <c r="AQ11" s="31" t="s">
        <v>144</v>
      </c>
      <c r="AR11" s="31" t="s">
        <v>144</v>
      </c>
    </row>
    <row r="12" spans="1:47" s="31" customFormat="1" ht="15" customHeight="1" x14ac:dyDescent="0.3">
      <c r="E12" s="31" t="s">
        <v>132</v>
      </c>
      <c r="F12" s="31" t="s">
        <v>564</v>
      </c>
      <c r="G12" s="31" t="s">
        <v>153</v>
      </c>
      <c r="H12" s="31" t="s">
        <v>154</v>
      </c>
      <c r="I12" s="31" t="s">
        <v>594</v>
      </c>
      <c r="J12" s="31" t="s">
        <v>607</v>
      </c>
      <c r="K12" s="31" t="s">
        <v>631</v>
      </c>
      <c r="L12" s="31" t="s">
        <v>660</v>
      </c>
      <c r="M12" s="375" t="s">
        <v>623</v>
      </c>
      <c r="N12" s="375"/>
      <c r="O12" s="31">
        <v>16</v>
      </c>
      <c r="P12" s="31" t="s">
        <v>144</v>
      </c>
      <c r="Q12" s="31" t="s">
        <v>661</v>
      </c>
      <c r="R12" s="31" t="s">
        <v>335</v>
      </c>
      <c r="S12" s="31" t="s">
        <v>341</v>
      </c>
      <c r="T12" s="31" t="s">
        <v>345</v>
      </c>
      <c r="U12" s="31" t="s">
        <v>155</v>
      </c>
      <c r="V12" s="31" t="s">
        <v>576</v>
      </c>
      <c r="W12" s="31" t="s">
        <v>144</v>
      </c>
      <c r="X12" s="31" t="s">
        <v>144</v>
      </c>
      <c r="Y12" s="31" t="s">
        <v>144</v>
      </c>
      <c r="Z12" s="33">
        <v>0.94</v>
      </c>
      <c r="AA12" s="31" t="s">
        <v>144</v>
      </c>
      <c r="AB12" s="31" t="s">
        <v>144</v>
      </c>
      <c r="AC12" s="31" t="s">
        <v>144</v>
      </c>
      <c r="AD12" s="31" t="s">
        <v>144</v>
      </c>
      <c r="AE12" s="31" t="s">
        <v>144</v>
      </c>
      <c r="AF12" s="31" t="s">
        <v>144</v>
      </c>
      <c r="AH12" s="31" t="s">
        <v>196</v>
      </c>
      <c r="AI12" s="31" t="s">
        <v>347</v>
      </c>
      <c r="AJ12" s="31" t="s">
        <v>156</v>
      </c>
      <c r="AK12" s="31" t="s">
        <v>144</v>
      </c>
      <c r="AL12" s="31" t="s">
        <v>346</v>
      </c>
      <c r="AM12" s="31" t="s">
        <v>144</v>
      </c>
      <c r="AN12" s="31" t="s">
        <v>164</v>
      </c>
      <c r="AO12" s="31" t="s">
        <v>758</v>
      </c>
      <c r="AP12" s="31" t="s">
        <v>144</v>
      </c>
      <c r="AQ12" s="31" t="s">
        <v>144</v>
      </c>
      <c r="AR12" s="31" t="s">
        <v>144</v>
      </c>
    </row>
    <row r="13" spans="1:47" s="31" customFormat="1" ht="15" customHeight="1" x14ac:dyDescent="0.3">
      <c r="E13" s="31" t="s">
        <v>132</v>
      </c>
      <c r="F13" s="31" t="s">
        <v>564</v>
      </c>
      <c r="G13" s="31" t="s">
        <v>153</v>
      </c>
      <c r="H13" s="31" t="s">
        <v>154</v>
      </c>
      <c r="I13" s="31" t="s">
        <v>594</v>
      </c>
      <c r="J13" s="31" t="s">
        <v>625</v>
      </c>
      <c r="K13" s="31" t="s">
        <v>632</v>
      </c>
      <c r="L13" s="31" t="s">
        <v>254</v>
      </c>
      <c r="M13" s="375" t="s">
        <v>640</v>
      </c>
      <c r="N13" s="375"/>
      <c r="O13" s="31">
        <v>16</v>
      </c>
      <c r="P13" s="31" t="s">
        <v>144</v>
      </c>
      <c r="Q13" s="31" t="s">
        <v>641</v>
      </c>
      <c r="R13" s="31" t="s">
        <v>335</v>
      </c>
      <c r="S13" s="31" t="s">
        <v>341</v>
      </c>
      <c r="T13" s="31" t="s">
        <v>345</v>
      </c>
      <c r="U13" s="31" t="s">
        <v>155</v>
      </c>
      <c r="V13" s="31" t="s">
        <v>576</v>
      </c>
      <c r="W13" s="31" t="s">
        <v>144</v>
      </c>
      <c r="X13" s="31" t="s">
        <v>144</v>
      </c>
      <c r="Y13" s="31" t="s">
        <v>144</v>
      </c>
      <c r="Z13" s="33">
        <v>0.94</v>
      </c>
      <c r="AA13" s="31" t="s">
        <v>144</v>
      </c>
      <c r="AB13" s="31" t="s">
        <v>144</v>
      </c>
      <c r="AC13" s="31" t="s">
        <v>144</v>
      </c>
      <c r="AD13" s="31" t="s">
        <v>144</v>
      </c>
      <c r="AE13" s="31" t="s">
        <v>144</v>
      </c>
      <c r="AF13" s="31" t="s">
        <v>144</v>
      </c>
      <c r="AH13" s="31" t="s">
        <v>196</v>
      </c>
      <c r="AI13" s="31" t="s">
        <v>347</v>
      </c>
      <c r="AJ13" s="31" t="s">
        <v>156</v>
      </c>
      <c r="AK13" s="31" t="s">
        <v>144</v>
      </c>
      <c r="AL13" s="31" t="s">
        <v>346</v>
      </c>
      <c r="AM13" s="31" t="s">
        <v>144</v>
      </c>
      <c r="AN13" s="31" t="s">
        <v>164</v>
      </c>
      <c r="AO13" s="31" t="s">
        <v>758</v>
      </c>
      <c r="AP13" s="31" t="s">
        <v>144</v>
      </c>
      <c r="AQ13" s="31" t="s">
        <v>144</v>
      </c>
      <c r="AR13" s="31" t="s">
        <v>144</v>
      </c>
    </row>
    <row r="14" spans="1:47" s="31" customFormat="1" ht="15" customHeight="1" x14ac:dyDescent="0.3">
      <c r="E14" s="31" t="s">
        <v>132</v>
      </c>
      <c r="F14" s="31" t="s">
        <v>564</v>
      </c>
      <c r="G14" s="31" t="s">
        <v>153</v>
      </c>
      <c r="H14" s="31" t="s">
        <v>154</v>
      </c>
      <c r="I14" s="31" t="s">
        <v>594</v>
      </c>
      <c r="J14" s="31" t="s">
        <v>625</v>
      </c>
      <c r="K14" s="31" t="s">
        <v>634</v>
      </c>
      <c r="L14" s="31" t="s">
        <v>660</v>
      </c>
      <c r="M14" s="375" t="s">
        <v>640</v>
      </c>
      <c r="N14" s="375"/>
      <c r="O14" s="31">
        <v>16</v>
      </c>
      <c r="P14" s="31" t="s">
        <v>144</v>
      </c>
      <c r="Q14" s="31" t="s">
        <v>661</v>
      </c>
      <c r="R14" s="31" t="s">
        <v>335</v>
      </c>
      <c r="S14" s="31" t="s">
        <v>341</v>
      </c>
      <c r="T14" s="31" t="s">
        <v>345</v>
      </c>
      <c r="U14" s="31" t="s">
        <v>155</v>
      </c>
      <c r="V14" s="31" t="s">
        <v>576</v>
      </c>
      <c r="W14" s="31" t="s">
        <v>144</v>
      </c>
      <c r="X14" s="31" t="s">
        <v>144</v>
      </c>
      <c r="Y14" s="31" t="s">
        <v>144</v>
      </c>
      <c r="Z14" s="33">
        <v>0.94</v>
      </c>
      <c r="AA14" s="31" t="s">
        <v>144</v>
      </c>
      <c r="AB14" s="31" t="s">
        <v>144</v>
      </c>
      <c r="AC14" s="31" t="s">
        <v>144</v>
      </c>
      <c r="AD14" s="31" t="s">
        <v>144</v>
      </c>
      <c r="AE14" s="31" t="s">
        <v>144</v>
      </c>
      <c r="AF14" s="31" t="s">
        <v>144</v>
      </c>
      <c r="AH14" s="31" t="s">
        <v>196</v>
      </c>
      <c r="AI14" s="31" t="s">
        <v>347</v>
      </c>
      <c r="AJ14" s="31" t="s">
        <v>156</v>
      </c>
      <c r="AK14" s="31" t="s">
        <v>144</v>
      </c>
      <c r="AL14" s="31" t="s">
        <v>346</v>
      </c>
      <c r="AM14" s="31" t="s">
        <v>144</v>
      </c>
      <c r="AN14" s="31" t="s">
        <v>164</v>
      </c>
      <c r="AO14" s="31" t="s">
        <v>758</v>
      </c>
      <c r="AP14" s="31" t="s">
        <v>144</v>
      </c>
      <c r="AQ14" s="31" t="s">
        <v>144</v>
      </c>
      <c r="AR14" s="31" t="s">
        <v>144</v>
      </c>
    </row>
    <row r="15" spans="1:47" s="31" customFormat="1" ht="15" customHeight="1" x14ac:dyDescent="0.3">
      <c r="E15" s="31" t="s">
        <v>132</v>
      </c>
      <c r="F15" s="31" t="s">
        <v>564</v>
      </c>
      <c r="G15" s="31" t="s">
        <v>153</v>
      </c>
      <c r="H15" s="31" t="s">
        <v>154</v>
      </c>
      <c r="I15" s="31" t="s">
        <v>594</v>
      </c>
      <c r="J15" s="31" t="s">
        <v>625</v>
      </c>
      <c r="K15" s="31" t="s">
        <v>633</v>
      </c>
      <c r="L15" s="31" t="s">
        <v>254</v>
      </c>
      <c r="M15" s="375" t="s">
        <v>640</v>
      </c>
      <c r="N15" s="375"/>
      <c r="O15" s="31">
        <v>16</v>
      </c>
      <c r="P15" s="31" t="s">
        <v>144</v>
      </c>
      <c r="Q15" s="31" t="s">
        <v>641</v>
      </c>
      <c r="R15" s="31" t="s">
        <v>335</v>
      </c>
      <c r="S15" s="31" t="s">
        <v>341</v>
      </c>
      <c r="T15" s="31" t="s">
        <v>345</v>
      </c>
      <c r="U15" s="31" t="s">
        <v>155</v>
      </c>
      <c r="V15" s="31" t="s">
        <v>576</v>
      </c>
      <c r="W15" s="31" t="s">
        <v>144</v>
      </c>
      <c r="X15" s="31" t="s">
        <v>144</v>
      </c>
      <c r="Y15" s="31" t="s">
        <v>144</v>
      </c>
      <c r="Z15" s="33">
        <v>0.94</v>
      </c>
      <c r="AA15" s="31" t="s">
        <v>144</v>
      </c>
      <c r="AB15" s="31" t="s">
        <v>144</v>
      </c>
      <c r="AC15" s="31" t="s">
        <v>144</v>
      </c>
      <c r="AD15" s="31" t="s">
        <v>144</v>
      </c>
      <c r="AE15" s="31" t="s">
        <v>144</v>
      </c>
      <c r="AF15" s="31" t="s">
        <v>144</v>
      </c>
      <c r="AH15" s="31" t="s">
        <v>196</v>
      </c>
      <c r="AI15" s="31" t="s">
        <v>347</v>
      </c>
      <c r="AJ15" s="31" t="s">
        <v>156</v>
      </c>
      <c r="AK15" s="31" t="s">
        <v>144</v>
      </c>
      <c r="AL15" s="31" t="s">
        <v>346</v>
      </c>
      <c r="AM15" s="31" t="s">
        <v>144</v>
      </c>
      <c r="AN15" s="31" t="s">
        <v>164</v>
      </c>
      <c r="AO15" s="31" t="s">
        <v>758</v>
      </c>
      <c r="AP15" s="31" t="s">
        <v>144</v>
      </c>
      <c r="AQ15" s="31" t="s">
        <v>144</v>
      </c>
      <c r="AR15" s="31" t="s">
        <v>144</v>
      </c>
    </row>
    <row r="16" spans="1:47" s="31" customFormat="1" ht="15" customHeight="1" x14ac:dyDescent="0.3">
      <c r="E16" s="31" t="s">
        <v>132</v>
      </c>
      <c r="F16" s="31" t="s">
        <v>564</v>
      </c>
      <c r="G16" s="31" t="s">
        <v>153</v>
      </c>
      <c r="H16" s="31" t="s">
        <v>154</v>
      </c>
      <c r="I16" s="31" t="s">
        <v>594</v>
      </c>
      <c r="J16" s="31" t="s">
        <v>625</v>
      </c>
      <c r="K16" s="31" t="s">
        <v>635</v>
      </c>
      <c r="L16" s="31" t="s">
        <v>660</v>
      </c>
      <c r="M16" s="375" t="s">
        <v>640</v>
      </c>
      <c r="N16" s="375"/>
      <c r="O16" s="31">
        <v>16</v>
      </c>
      <c r="P16" s="31" t="s">
        <v>144</v>
      </c>
      <c r="Q16" s="31" t="s">
        <v>661</v>
      </c>
      <c r="R16" s="31" t="s">
        <v>335</v>
      </c>
      <c r="S16" s="31" t="s">
        <v>341</v>
      </c>
      <c r="T16" s="31" t="s">
        <v>345</v>
      </c>
      <c r="U16" s="31" t="s">
        <v>155</v>
      </c>
      <c r="V16" s="31" t="s">
        <v>576</v>
      </c>
      <c r="W16" s="31" t="s">
        <v>144</v>
      </c>
      <c r="X16" s="31" t="s">
        <v>144</v>
      </c>
      <c r="Y16" s="31" t="s">
        <v>144</v>
      </c>
      <c r="Z16" s="33">
        <v>0.94</v>
      </c>
      <c r="AA16" s="31" t="s">
        <v>144</v>
      </c>
      <c r="AB16" s="31" t="s">
        <v>144</v>
      </c>
      <c r="AC16" s="31" t="s">
        <v>144</v>
      </c>
      <c r="AD16" s="31" t="s">
        <v>144</v>
      </c>
      <c r="AE16" s="31" t="s">
        <v>144</v>
      </c>
      <c r="AF16" s="31" t="s">
        <v>144</v>
      </c>
      <c r="AH16" s="31" t="s">
        <v>196</v>
      </c>
      <c r="AI16" s="31" t="s">
        <v>347</v>
      </c>
      <c r="AJ16" s="31" t="s">
        <v>156</v>
      </c>
      <c r="AK16" s="31" t="s">
        <v>144</v>
      </c>
      <c r="AL16" s="31" t="s">
        <v>346</v>
      </c>
      <c r="AM16" s="31" t="s">
        <v>144</v>
      </c>
      <c r="AN16" s="31" t="s">
        <v>164</v>
      </c>
      <c r="AO16" s="31" t="s">
        <v>758</v>
      </c>
      <c r="AP16" s="31" t="s">
        <v>144</v>
      </c>
      <c r="AQ16" s="31" t="s">
        <v>144</v>
      </c>
      <c r="AR16" s="31" t="s">
        <v>144</v>
      </c>
    </row>
    <row r="17" spans="5:44" s="31" customFormat="1" ht="15" customHeight="1" x14ac:dyDescent="0.3">
      <c r="E17" s="31" t="s">
        <v>132</v>
      </c>
      <c r="F17" s="31" t="s">
        <v>564</v>
      </c>
      <c r="G17" s="31" t="s">
        <v>153</v>
      </c>
      <c r="H17" s="31" t="s">
        <v>154</v>
      </c>
      <c r="I17" s="31" t="s">
        <v>594</v>
      </c>
      <c r="J17" s="31" t="s">
        <v>625</v>
      </c>
      <c r="K17" s="31" t="s">
        <v>636</v>
      </c>
      <c r="L17" s="31" t="s">
        <v>254</v>
      </c>
      <c r="M17" s="375" t="s">
        <v>640</v>
      </c>
      <c r="N17" s="375"/>
      <c r="O17" s="31">
        <v>16</v>
      </c>
      <c r="P17" s="31" t="s">
        <v>144</v>
      </c>
      <c r="Q17" s="31" t="s">
        <v>641</v>
      </c>
      <c r="R17" s="31" t="s">
        <v>335</v>
      </c>
      <c r="S17" s="31" t="s">
        <v>341</v>
      </c>
      <c r="T17" s="31" t="s">
        <v>345</v>
      </c>
      <c r="U17" s="31" t="s">
        <v>155</v>
      </c>
      <c r="V17" s="31" t="s">
        <v>576</v>
      </c>
      <c r="W17" s="31" t="s">
        <v>144</v>
      </c>
      <c r="X17" s="31" t="s">
        <v>144</v>
      </c>
      <c r="Y17" s="31" t="s">
        <v>144</v>
      </c>
      <c r="Z17" s="33">
        <v>0.94</v>
      </c>
      <c r="AA17" s="31" t="s">
        <v>144</v>
      </c>
      <c r="AB17" s="31" t="s">
        <v>144</v>
      </c>
      <c r="AC17" s="31" t="s">
        <v>144</v>
      </c>
      <c r="AD17" s="31" t="s">
        <v>144</v>
      </c>
      <c r="AE17" s="31" t="s">
        <v>144</v>
      </c>
      <c r="AF17" s="31" t="s">
        <v>144</v>
      </c>
      <c r="AH17" s="31" t="s">
        <v>196</v>
      </c>
      <c r="AI17" s="31" t="s">
        <v>347</v>
      </c>
      <c r="AJ17" s="31" t="s">
        <v>156</v>
      </c>
      <c r="AK17" s="31" t="s">
        <v>144</v>
      </c>
      <c r="AL17" s="31" t="s">
        <v>346</v>
      </c>
      <c r="AM17" s="31" t="s">
        <v>144</v>
      </c>
      <c r="AN17" s="31" t="s">
        <v>164</v>
      </c>
      <c r="AO17" s="31" t="s">
        <v>758</v>
      </c>
      <c r="AP17" s="31" t="s">
        <v>144</v>
      </c>
      <c r="AQ17" s="31" t="s">
        <v>144</v>
      </c>
      <c r="AR17" s="31" t="s">
        <v>144</v>
      </c>
    </row>
    <row r="18" spans="5:44" s="31" customFormat="1" ht="15" customHeight="1" x14ac:dyDescent="0.3">
      <c r="E18" s="31" t="s">
        <v>132</v>
      </c>
      <c r="F18" s="31" t="s">
        <v>564</v>
      </c>
      <c r="G18" s="31" t="s">
        <v>153</v>
      </c>
      <c r="H18" s="31" t="s">
        <v>154</v>
      </c>
      <c r="I18" s="31" t="s">
        <v>594</v>
      </c>
      <c r="J18" s="31" t="s">
        <v>625</v>
      </c>
      <c r="K18" s="31" t="s">
        <v>637</v>
      </c>
      <c r="L18" s="31" t="s">
        <v>660</v>
      </c>
      <c r="M18" s="375" t="s">
        <v>640</v>
      </c>
      <c r="N18" s="375"/>
      <c r="O18" s="31">
        <v>16</v>
      </c>
      <c r="P18" s="31" t="s">
        <v>144</v>
      </c>
      <c r="Q18" s="31" t="s">
        <v>661</v>
      </c>
      <c r="R18" s="31" t="s">
        <v>335</v>
      </c>
      <c r="S18" s="31" t="s">
        <v>341</v>
      </c>
      <c r="T18" s="31" t="s">
        <v>345</v>
      </c>
      <c r="U18" s="31" t="s">
        <v>155</v>
      </c>
      <c r="V18" s="31" t="s">
        <v>576</v>
      </c>
      <c r="W18" s="31" t="s">
        <v>144</v>
      </c>
      <c r="X18" s="31" t="s">
        <v>144</v>
      </c>
      <c r="Y18" s="31" t="s">
        <v>144</v>
      </c>
      <c r="Z18" s="33">
        <v>0.94</v>
      </c>
      <c r="AA18" s="31" t="s">
        <v>144</v>
      </c>
      <c r="AB18" s="31" t="s">
        <v>144</v>
      </c>
      <c r="AC18" s="31" t="s">
        <v>144</v>
      </c>
      <c r="AD18" s="31" t="s">
        <v>144</v>
      </c>
      <c r="AE18" s="31" t="s">
        <v>144</v>
      </c>
      <c r="AF18" s="31" t="s">
        <v>144</v>
      </c>
      <c r="AH18" s="31" t="s">
        <v>196</v>
      </c>
      <c r="AI18" s="31" t="s">
        <v>347</v>
      </c>
      <c r="AJ18" s="31" t="s">
        <v>156</v>
      </c>
      <c r="AK18" s="31" t="s">
        <v>144</v>
      </c>
      <c r="AL18" s="31" t="s">
        <v>346</v>
      </c>
      <c r="AM18" s="31" t="s">
        <v>144</v>
      </c>
      <c r="AN18" s="31" t="s">
        <v>164</v>
      </c>
      <c r="AO18" s="31" t="s">
        <v>758</v>
      </c>
      <c r="AP18" s="31" t="s">
        <v>144</v>
      </c>
      <c r="AQ18" s="31" t="s">
        <v>144</v>
      </c>
      <c r="AR18" s="31" t="s">
        <v>144</v>
      </c>
    </row>
    <row r="19" spans="5:44" s="31" customFormat="1" ht="15" customHeight="1" x14ac:dyDescent="0.3">
      <c r="E19" s="31" t="s">
        <v>132</v>
      </c>
      <c r="F19" s="31" t="s">
        <v>564</v>
      </c>
      <c r="G19" s="31" t="s">
        <v>153</v>
      </c>
      <c r="H19" s="31" t="s">
        <v>154</v>
      </c>
      <c r="I19" s="31" t="s">
        <v>594</v>
      </c>
      <c r="J19" s="31" t="s">
        <v>625</v>
      </c>
      <c r="K19" s="31" t="s">
        <v>638</v>
      </c>
      <c r="L19" s="31" t="s">
        <v>254</v>
      </c>
      <c r="M19" s="375" t="s">
        <v>640</v>
      </c>
      <c r="N19" s="375"/>
      <c r="O19" s="31">
        <v>16</v>
      </c>
      <c r="P19" s="31" t="s">
        <v>144</v>
      </c>
      <c r="Q19" s="31" t="s">
        <v>641</v>
      </c>
      <c r="R19" s="31" t="s">
        <v>335</v>
      </c>
      <c r="S19" s="31" t="s">
        <v>341</v>
      </c>
      <c r="T19" s="31" t="s">
        <v>345</v>
      </c>
      <c r="U19" s="31" t="s">
        <v>155</v>
      </c>
      <c r="V19" s="31" t="s">
        <v>576</v>
      </c>
      <c r="W19" s="31" t="s">
        <v>144</v>
      </c>
      <c r="X19" s="31" t="s">
        <v>144</v>
      </c>
      <c r="Y19" s="31" t="s">
        <v>144</v>
      </c>
      <c r="Z19" s="33">
        <v>0.94</v>
      </c>
      <c r="AA19" s="31" t="s">
        <v>144</v>
      </c>
      <c r="AB19" s="31" t="s">
        <v>144</v>
      </c>
      <c r="AC19" s="31" t="s">
        <v>144</v>
      </c>
      <c r="AD19" s="31" t="s">
        <v>144</v>
      </c>
      <c r="AE19" s="31" t="s">
        <v>144</v>
      </c>
      <c r="AF19" s="31" t="s">
        <v>144</v>
      </c>
      <c r="AH19" s="31" t="s">
        <v>196</v>
      </c>
      <c r="AI19" s="31" t="s">
        <v>347</v>
      </c>
      <c r="AJ19" s="31" t="s">
        <v>156</v>
      </c>
      <c r="AK19" s="31" t="s">
        <v>144</v>
      </c>
      <c r="AL19" s="31" t="s">
        <v>346</v>
      </c>
      <c r="AM19" s="31" t="s">
        <v>144</v>
      </c>
      <c r="AN19" s="31" t="s">
        <v>164</v>
      </c>
      <c r="AO19" s="31" t="s">
        <v>758</v>
      </c>
      <c r="AP19" s="31" t="s">
        <v>144</v>
      </c>
      <c r="AQ19" s="31" t="s">
        <v>144</v>
      </c>
      <c r="AR19" s="31" t="s">
        <v>144</v>
      </c>
    </row>
    <row r="20" spans="5:44" s="31" customFormat="1" ht="15" customHeight="1" x14ac:dyDescent="0.3">
      <c r="E20" s="31" t="s">
        <v>132</v>
      </c>
      <c r="F20" s="31" t="s">
        <v>564</v>
      </c>
      <c r="G20" s="31" t="s">
        <v>153</v>
      </c>
      <c r="H20" s="31" t="s">
        <v>154</v>
      </c>
      <c r="I20" s="31" t="s">
        <v>594</v>
      </c>
      <c r="J20" s="31" t="s">
        <v>625</v>
      </c>
      <c r="K20" s="31" t="s">
        <v>639</v>
      </c>
      <c r="L20" s="31" t="s">
        <v>660</v>
      </c>
      <c r="M20" s="375" t="s">
        <v>640</v>
      </c>
      <c r="N20" s="375"/>
      <c r="O20" s="31">
        <v>16</v>
      </c>
      <c r="P20" s="31" t="s">
        <v>144</v>
      </c>
      <c r="Q20" s="31" t="s">
        <v>661</v>
      </c>
      <c r="R20" s="31" t="s">
        <v>335</v>
      </c>
      <c r="S20" s="31" t="s">
        <v>341</v>
      </c>
      <c r="T20" s="31" t="s">
        <v>345</v>
      </c>
      <c r="U20" s="31" t="s">
        <v>155</v>
      </c>
      <c r="V20" s="31" t="s">
        <v>576</v>
      </c>
      <c r="W20" s="31" t="s">
        <v>144</v>
      </c>
      <c r="X20" s="31" t="s">
        <v>144</v>
      </c>
      <c r="Y20" s="31" t="s">
        <v>144</v>
      </c>
      <c r="Z20" s="33">
        <v>0.94</v>
      </c>
      <c r="AA20" s="31" t="s">
        <v>144</v>
      </c>
      <c r="AB20" s="31" t="s">
        <v>144</v>
      </c>
      <c r="AC20" s="31" t="s">
        <v>144</v>
      </c>
      <c r="AD20" s="31" t="s">
        <v>144</v>
      </c>
      <c r="AE20" s="31" t="s">
        <v>144</v>
      </c>
      <c r="AF20" s="31" t="s">
        <v>144</v>
      </c>
      <c r="AH20" s="31" t="s">
        <v>196</v>
      </c>
      <c r="AI20" s="31" t="s">
        <v>347</v>
      </c>
      <c r="AJ20" s="31" t="s">
        <v>156</v>
      </c>
      <c r="AK20" s="31" t="s">
        <v>144</v>
      </c>
      <c r="AL20" s="31" t="s">
        <v>346</v>
      </c>
      <c r="AM20" s="31" t="s">
        <v>144</v>
      </c>
      <c r="AN20" s="31" t="s">
        <v>164</v>
      </c>
      <c r="AO20" s="31" t="s">
        <v>758</v>
      </c>
      <c r="AP20" s="31" t="s">
        <v>144</v>
      </c>
      <c r="AQ20" s="31" t="s">
        <v>144</v>
      </c>
      <c r="AR20" s="31" t="s">
        <v>144</v>
      </c>
    </row>
    <row r="21" spans="5:44" s="31" customFormat="1" ht="15" customHeight="1" x14ac:dyDescent="0.3">
      <c r="E21" s="31" t="s">
        <v>132</v>
      </c>
      <c r="F21" s="31" t="s">
        <v>564</v>
      </c>
      <c r="G21" s="31" t="s">
        <v>153</v>
      </c>
      <c r="H21" s="31" t="s">
        <v>154</v>
      </c>
      <c r="I21" s="31" t="s">
        <v>594</v>
      </c>
      <c r="J21" s="31" t="s">
        <v>626</v>
      </c>
      <c r="K21" s="31" t="s">
        <v>648</v>
      </c>
      <c r="L21" s="31" t="s">
        <v>254</v>
      </c>
      <c r="M21" s="375" t="s">
        <v>650</v>
      </c>
      <c r="N21" s="375"/>
      <c r="O21" s="31">
        <v>16</v>
      </c>
      <c r="P21" s="31" t="s">
        <v>144</v>
      </c>
      <c r="Q21" s="31" t="s">
        <v>624</v>
      </c>
      <c r="R21" s="31" t="s">
        <v>335</v>
      </c>
      <c r="S21" s="31" t="s">
        <v>341</v>
      </c>
      <c r="T21" s="31" t="s">
        <v>345</v>
      </c>
      <c r="U21" s="31" t="s">
        <v>155</v>
      </c>
      <c r="V21" s="31" t="s">
        <v>576</v>
      </c>
      <c r="W21" s="31" t="s">
        <v>144</v>
      </c>
      <c r="X21" s="31" t="s">
        <v>144</v>
      </c>
      <c r="Y21" s="31" t="s">
        <v>144</v>
      </c>
      <c r="Z21" s="33">
        <v>0.94</v>
      </c>
      <c r="AA21" s="31" t="s">
        <v>144</v>
      </c>
      <c r="AB21" s="31" t="s">
        <v>144</v>
      </c>
      <c r="AC21" s="31" t="s">
        <v>144</v>
      </c>
      <c r="AD21" s="31" t="s">
        <v>144</v>
      </c>
      <c r="AE21" s="31" t="s">
        <v>144</v>
      </c>
      <c r="AF21" s="31" t="s">
        <v>144</v>
      </c>
      <c r="AH21" s="31" t="s">
        <v>196</v>
      </c>
      <c r="AI21" s="31" t="s">
        <v>347</v>
      </c>
      <c r="AJ21" s="31" t="s">
        <v>156</v>
      </c>
      <c r="AK21" s="31" t="s">
        <v>144</v>
      </c>
      <c r="AL21" s="31" t="s">
        <v>346</v>
      </c>
      <c r="AM21" s="31" t="s">
        <v>144</v>
      </c>
      <c r="AN21" s="31" t="s">
        <v>164</v>
      </c>
      <c r="AO21" s="31" t="s">
        <v>758</v>
      </c>
      <c r="AP21" s="31" t="s">
        <v>144</v>
      </c>
      <c r="AQ21" s="31" t="s">
        <v>144</v>
      </c>
      <c r="AR21" s="31" t="s">
        <v>144</v>
      </c>
    </row>
    <row r="22" spans="5:44" s="31" customFormat="1" ht="15" customHeight="1" x14ac:dyDescent="0.3">
      <c r="E22" s="31" t="s">
        <v>132</v>
      </c>
      <c r="F22" s="31" t="s">
        <v>564</v>
      </c>
      <c r="G22" s="31" t="s">
        <v>153</v>
      </c>
      <c r="H22" s="31" t="s">
        <v>154</v>
      </c>
      <c r="I22" s="31" t="s">
        <v>594</v>
      </c>
      <c r="J22" s="31" t="s">
        <v>626</v>
      </c>
      <c r="K22" s="31" t="s">
        <v>649</v>
      </c>
      <c r="L22" s="31" t="s">
        <v>660</v>
      </c>
      <c r="M22" s="375" t="s">
        <v>623</v>
      </c>
      <c r="N22" s="375"/>
      <c r="O22" s="31">
        <v>16</v>
      </c>
      <c r="P22" s="31" t="s">
        <v>144</v>
      </c>
      <c r="Q22" s="31" t="s">
        <v>661</v>
      </c>
      <c r="R22" s="31" t="s">
        <v>335</v>
      </c>
      <c r="S22" s="31" t="s">
        <v>341</v>
      </c>
      <c r="T22" s="31" t="s">
        <v>345</v>
      </c>
      <c r="U22" s="31" t="s">
        <v>155</v>
      </c>
      <c r="V22" s="31" t="s">
        <v>576</v>
      </c>
      <c r="W22" s="31" t="s">
        <v>144</v>
      </c>
      <c r="X22" s="31" t="s">
        <v>144</v>
      </c>
      <c r="Y22" s="31" t="s">
        <v>144</v>
      </c>
      <c r="Z22" s="33">
        <v>0.94</v>
      </c>
      <c r="AA22" s="31" t="s">
        <v>144</v>
      </c>
      <c r="AB22" s="31" t="s">
        <v>144</v>
      </c>
      <c r="AC22" s="31" t="s">
        <v>144</v>
      </c>
      <c r="AD22" s="31" t="s">
        <v>144</v>
      </c>
      <c r="AE22" s="31" t="s">
        <v>144</v>
      </c>
      <c r="AF22" s="31" t="s">
        <v>144</v>
      </c>
      <c r="AH22" s="31" t="s">
        <v>196</v>
      </c>
      <c r="AI22" s="31" t="s">
        <v>347</v>
      </c>
      <c r="AJ22" s="31" t="s">
        <v>156</v>
      </c>
      <c r="AK22" s="31" t="s">
        <v>144</v>
      </c>
      <c r="AL22" s="31" t="s">
        <v>346</v>
      </c>
      <c r="AM22" s="31" t="s">
        <v>144</v>
      </c>
      <c r="AN22" s="31" t="s">
        <v>164</v>
      </c>
      <c r="AO22" s="31" t="s">
        <v>758</v>
      </c>
      <c r="AP22" s="31" t="s">
        <v>144</v>
      </c>
      <c r="AQ22" s="31" t="s">
        <v>144</v>
      </c>
      <c r="AR22" s="31" t="s">
        <v>144</v>
      </c>
    </row>
    <row r="23" spans="5:44" s="31" customFormat="1" ht="15" customHeight="1" x14ac:dyDescent="0.3">
      <c r="E23" s="31" t="s">
        <v>132</v>
      </c>
      <c r="F23" s="31" t="s">
        <v>564</v>
      </c>
      <c r="G23" s="31" t="s">
        <v>153</v>
      </c>
      <c r="H23" s="31" t="s">
        <v>154</v>
      </c>
      <c r="I23" s="31" t="s">
        <v>594</v>
      </c>
      <c r="J23" s="31" t="s">
        <v>626</v>
      </c>
      <c r="K23" s="31" t="s">
        <v>642</v>
      </c>
      <c r="L23" s="31" t="s">
        <v>254</v>
      </c>
      <c r="M23" s="375" t="s">
        <v>650</v>
      </c>
      <c r="N23" s="375"/>
      <c r="O23" s="31">
        <v>16</v>
      </c>
      <c r="P23" s="31" t="s">
        <v>144</v>
      </c>
      <c r="Q23" s="31" t="s">
        <v>624</v>
      </c>
      <c r="R23" s="31" t="s">
        <v>335</v>
      </c>
      <c r="S23" s="31" t="s">
        <v>341</v>
      </c>
      <c r="T23" s="31" t="s">
        <v>345</v>
      </c>
      <c r="U23" s="31" t="s">
        <v>155</v>
      </c>
      <c r="V23" s="31" t="s">
        <v>576</v>
      </c>
      <c r="W23" s="31" t="s">
        <v>144</v>
      </c>
      <c r="X23" s="31" t="s">
        <v>144</v>
      </c>
      <c r="Y23" s="31" t="s">
        <v>144</v>
      </c>
      <c r="Z23" s="33">
        <v>0.94</v>
      </c>
      <c r="AA23" s="31" t="s">
        <v>144</v>
      </c>
      <c r="AB23" s="31" t="s">
        <v>144</v>
      </c>
      <c r="AC23" s="31" t="s">
        <v>144</v>
      </c>
      <c r="AD23" s="31" t="s">
        <v>144</v>
      </c>
      <c r="AE23" s="31" t="s">
        <v>144</v>
      </c>
      <c r="AF23" s="31" t="s">
        <v>144</v>
      </c>
      <c r="AH23" s="31" t="s">
        <v>196</v>
      </c>
      <c r="AI23" s="31" t="s">
        <v>347</v>
      </c>
      <c r="AJ23" s="31" t="s">
        <v>156</v>
      </c>
      <c r="AK23" s="31" t="s">
        <v>144</v>
      </c>
      <c r="AL23" s="31" t="s">
        <v>346</v>
      </c>
      <c r="AM23" s="31" t="s">
        <v>144</v>
      </c>
      <c r="AN23" s="31" t="s">
        <v>164</v>
      </c>
      <c r="AO23" s="31" t="s">
        <v>758</v>
      </c>
      <c r="AP23" s="31" t="s">
        <v>144</v>
      </c>
      <c r="AQ23" s="31" t="s">
        <v>144</v>
      </c>
      <c r="AR23" s="31" t="s">
        <v>144</v>
      </c>
    </row>
    <row r="24" spans="5:44" s="31" customFormat="1" ht="15" customHeight="1" x14ac:dyDescent="0.3">
      <c r="E24" s="31" t="s">
        <v>132</v>
      </c>
      <c r="F24" s="31" t="s">
        <v>564</v>
      </c>
      <c r="G24" s="31" t="s">
        <v>153</v>
      </c>
      <c r="H24" s="31" t="s">
        <v>154</v>
      </c>
      <c r="I24" s="31" t="s">
        <v>594</v>
      </c>
      <c r="J24" s="31" t="s">
        <v>626</v>
      </c>
      <c r="K24" s="31" t="s">
        <v>643</v>
      </c>
      <c r="L24" s="31" t="s">
        <v>660</v>
      </c>
      <c r="M24" s="375" t="s">
        <v>623</v>
      </c>
      <c r="N24" s="375"/>
      <c r="O24" s="31">
        <v>16</v>
      </c>
      <c r="P24" s="31" t="s">
        <v>144</v>
      </c>
      <c r="Q24" s="31" t="s">
        <v>661</v>
      </c>
      <c r="R24" s="31" t="s">
        <v>335</v>
      </c>
      <c r="S24" s="31" t="s">
        <v>341</v>
      </c>
      <c r="T24" s="31" t="s">
        <v>345</v>
      </c>
      <c r="U24" s="31" t="s">
        <v>155</v>
      </c>
      <c r="V24" s="31" t="s">
        <v>576</v>
      </c>
      <c r="W24" s="31" t="s">
        <v>144</v>
      </c>
      <c r="X24" s="31" t="s">
        <v>144</v>
      </c>
      <c r="Y24" s="31" t="s">
        <v>144</v>
      </c>
      <c r="Z24" s="33">
        <v>0.94</v>
      </c>
      <c r="AA24" s="31" t="s">
        <v>144</v>
      </c>
      <c r="AB24" s="31" t="s">
        <v>144</v>
      </c>
      <c r="AC24" s="31" t="s">
        <v>144</v>
      </c>
      <c r="AD24" s="31" t="s">
        <v>144</v>
      </c>
      <c r="AE24" s="31" t="s">
        <v>144</v>
      </c>
      <c r="AF24" s="31" t="s">
        <v>144</v>
      </c>
      <c r="AH24" s="31" t="s">
        <v>196</v>
      </c>
      <c r="AI24" s="31" t="s">
        <v>347</v>
      </c>
      <c r="AJ24" s="31" t="s">
        <v>156</v>
      </c>
      <c r="AK24" s="31" t="s">
        <v>144</v>
      </c>
      <c r="AL24" s="31" t="s">
        <v>346</v>
      </c>
      <c r="AM24" s="31" t="s">
        <v>144</v>
      </c>
      <c r="AN24" s="31" t="s">
        <v>164</v>
      </c>
      <c r="AO24" s="31" t="s">
        <v>758</v>
      </c>
      <c r="AP24" s="31" t="s">
        <v>144</v>
      </c>
      <c r="AQ24" s="31" t="s">
        <v>144</v>
      </c>
      <c r="AR24" s="31" t="s">
        <v>144</v>
      </c>
    </row>
    <row r="25" spans="5:44" s="31" customFormat="1" ht="15" customHeight="1" x14ac:dyDescent="0.3">
      <c r="E25" s="31" t="s">
        <v>132</v>
      </c>
      <c r="F25" s="31" t="s">
        <v>564</v>
      </c>
      <c r="G25" s="31" t="s">
        <v>153</v>
      </c>
      <c r="H25" s="31" t="s">
        <v>154</v>
      </c>
      <c r="I25" s="31" t="s">
        <v>594</v>
      </c>
      <c r="J25" s="31" t="s">
        <v>626</v>
      </c>
      <c r="K25" s="31" t="s">
        <v>644</v>
      </c>
      <c r="L25" s="31" t="s">
        <v>254</v>
      </c>
      <c r="M25" s="375" t="s">
        <v>650</v>
      </c>
      <c r="N25" s="375"/>
      <c r="O25" s="31">
        <v>16</v>
      </c>
      <c r="P25" s="31" t="s">
        <v>144</v>
      </c>
      <c r="Q25" s="31" t="s">
        <v>624</v>
      </c>
      <c r="R25" s="31" t="s">
        <v>335</v>
      </c>
      <c r="S25" s="31" t="s">
        <v>341</v>
      </c>
      <c r="T25" s="31" t="s">
        <v>345</v>
      </c>
      <c r="U25" s="31" t="s">
        <v>155</v>
      </c>
      <c r="V25" s="31" t="s">
        <v>576</v>
      </c>
      <c r="W25" s="31" t="s">
        <v>144</v>
      </c>
      <c r="X25" s="31" t="s">
        <v>144</v>
      </c>
      <c r="Y25" s="31" t="s">
        <v>144</v>
      </c>
      <c r="Z25" s="33">
        <v>0.94</v>
      </c>
      <c r="AA25" s="31" t="s">
        <v>144</v>
      </c>
      <c r="AB25" s="31" t="s">
        <v>144</v>
      </c>
      <c r="AC25" s="31" t="s">
        <v>144</v>
      </c>
      <c r="AD25" s="31" t="s">
        <v>144</v>
      </c>
      <c r="AE25" s="31" t="s">
        <v>144</v>
      </c>
      <c r="AF25" s="31" t="s">
        <v>144</v>
      </c>
      <c r="AH25" s="31" t="s">
        <v>196</v>
      </c>
      <c r="AI25" s="31" t="s">
        <v>347</v>
      </c>
      <c r="AJ25" s="31" t="s">
        <v>156</v>
      </c>
      <c r="AK25" s="31" t="s">
        <v>144</v>
      </c>
      <c r="AL25" s="31" t="s">
        <v>346</v>
      </c>
      <c r="AM25" s="31" t="s">
        <v>144</v>
      </c>
      <c r="AN25" s="31" t="s">
        <v>164</v>
      </c>
      <c r="AO25" s="31" t="s">
        <v>758</v>
      </c>
      <c r="AP25" s="31" t="s">
        <v>144</v>
      </c>
      <c r="AQ25" s="31" t="s">
        <v>144</v>
      </c>
      <c r="AR25" s="31" t="s">
        <v>144</v>
      </c>
    </row>
    <row r="26" spans="5:44" s="31" customFormat="1" ht="15" customHeight="1" x14ac:dyDescent="0.3">
      <c r="E26" s="31" t="s">
        <v>132</v>
      </c>
      <c r="F26" s="31" t="s">
        <v>564</v>
      </c>
      <c r="G26" s="31" t="s">
        <v>153</v>
      </c>
      <c r="H26" s="31" t="s">
        <v>154</v>
      </c>
      <c r="I26" s="31" t="s">
        <v>594</v>
      </c>
      <c r="J26" s="31" t="s">
        <v>626</v>
      </c>
      <c r="K26" s="31" t="s">
        <v>645</v>
      </c>
      <c r="L26" s="31" t="s">
        <v>660</v>
      </c>
      <c r="M26" s="375" t="s">
        <v>623</v>
      </c>
      <c r="N26" s="375"/>
      <c r="O26" s="31">
        <v>16</v>
      </c>
      <c r="P26" s="31" t="s">
        <v>144</v>
      </c>
      <c r="Q26" s="31" t="s">
        <v>661</v>
      </c>
      <c r="R26" s="31" t="s">
        <v>335</v>
      </c>
      <c r="S26" s="31" t="s">
        <v>341</v>
      </c>
      <c r="T26" s="31" t="s">
        <v>345</v>
      </c>
      <c r="U26" s="31" t="s">
        <v>155</v>
      </c>
      <c r="V26" s="31" t="s">
        <v>576</v>
      </c>
      <c r="W26" s="31" t="s">
        <v>144</v>
      </c>
      <c r="X26" s="31" t="s">
        <v>144</v>
      </c>
      <c r="Y26" s="31" t="s">
        <v>144</v>
      </c>
      <c r="Z26" s="33">
        <v>0.94</v>
      </c>
      <c r="AA26" s="31" t="s">
        <v>144</v>
      </c>
      <c r="AB26" s="31" t="s">
        <v>144</v>
      </c>
      <c r="AC26" s="31" t="s">
        <v>144</v>
      </c>
      <c r="AD26" s="31" t="s">
        <v>144</v>
      </c>
      <c r="AE26" s="31" t="s">
        <v>144</v>
      </c>
      <c r="AF26" s="31" t="s">
        <v>144</v>
      </c>
      <c r="AH26" s="31" t="s">
        <v>196</v>
      </c>
      <c r="AI26" s="31" t="s">
        <v>347</v>
      </c>
      <c r="AJ26" s="31" t="s">
        <v>156</v>
      </c>
      <c r="AK26" s="31" t="s">
        <v>144</v>
      </c>
      <c r="AL26" s="31" t="s">
        <v>346</v>
      </c>
      <c r="AM26" s="31" t="s">
        <v>144</v>
      </c>
      <c r="AN26" s="31" t="s">
        <v>164</v>
      </c>
      <c r="AO26" s="31" t="s">
        <v>758</v>
      </c>
      <c r="AP26" s="31" t="s">
        <v>144</v>
      </c>
      <c r="AQ26" s="31" t="s">
        <v>144</v>
      </c>
      <c r="AR26" s="31" t="s">
        <v>144</v>
      </c>
    </row>
    <row r="27" spans="5:44" s="31" customFormat="1" ht="15" customHeight="1" x14ac:dyDescent="0.3">
      <c r="E27" s="31" t="s">
        <v>132</v>
      </c>
      <c r="F27" s="31" t="s">
        <v>564</v>
      </c>
      <c r="G27" s="31" t="s">
        <v>153</v>
      </c>
      <c r="H27" s="31" t="s">
        <v>154</v>
      </c>
      <c r="I27" s="31" t="s">
        <v>594</v>
      </c>
      <c r="J27" s="31" t="s">
        <v>626</v>
      </c>
      <c r="K27" s="31" t="s">
        <v>646</v>
      </c>
      <c r="L27" s="31" t="s">
        <v>254</v>
      </c>
      <c r="M27" s="375" t="s">
        <v>650</v>
      </c>
      <c r="N27" s="375"/>
      <c r="O27" s="31">
        <v>16</v>
      </c>
      <c r="P27" s="31" t="s">
        <v>144</v>
      </c>
      <c r="Q27" s="31" t="s">
        <v>624</v>
      </c>
      <c r="R27" s="31" t="s">
        <v>335</v>
      </c>
      <c r="S27" s="31" t="s">
        <v>341</v>
      </c>
      <c r="T27" s="31" t="s">
        <v>345</v>
      </c>
      <c r="U27" s="31" t="s">
        <v>155</v>
      </c>
      <c r="V27" s="31" t="s">
        <v>576</v>
      </c>
      <c r="W27" s="31" t="s">
        <v>144</v>
      </c>
      <c r="X27" s="31" t="s">
        <v>144</v>
      </c>
      <c r="Y27" s="31" t="s">
        <v>144</v>
      </c>
      <c r="Z27" s="33">
        <v>0.94</v>
      </c>
      <c r="AA27" s="31" t="s">
        <v>144</v>
      </c>
      <c r="AB27" s="31" t="s">
        <v>144</v>
      </c>
      <c r="AC27" s="31" t="s">
        <v>144</v>
      </c>
      <c r="AD27" s="31" t="s">
        <v>144</v>
      </c>
      <c r="AE27" s="31" t="s">
        <v>144</v>
      </c>
      <c r="AF27" s="31" t="s">
        <v>144</v>
      </c>
      <c r="AH27" s="31" t="s">
        <v>196</v>
      </c>
      <c r="AI27" s="31" t="s">
        <v>347</v>
      </c>
      <c r="AJ27" s="31" t="s">
        <v>156</v>
      </c>
      <c r="AK27" s="31" t="s">
        <v>144</v>
      </c>
      <c r="AL27" s="31" t="s">
        <v>346</v>
      </c>
      <c r="AM27" s="31" t="s">
        <v>144</v>
      </c>
      <c r="AN27" s="31" t="s">
        <v>164</v>
      </c>
      <c r="AO27" s="31" t="s">
        <v>758</v>
      </c>
      <c r="AP27" s="31" t="s">
        <v>144</v>
      </c>
      <c r="AQ27" s="31" t="s">
        <v>144</v>
      </c>
      <c r="AR27" s="31" t="s">
        <v>144</v>
      </c>
    </row>
    <row r="28" spans="5:44" s="31" customFormat="1" ht="15" customHeight="1" x14ac:dyDescent="0.3">
      <c r="E28" s="31" t="s">
        <v>132</v>
      </c>
      <c r="F28" s="31" t="s">
        <v>564</v>
      </c>
      <c r="G28" s="31" t="s">
        <v>153</v>
      </c>
      <c r="H28" s="31" t="s">
        <v>154</v>
      </c>
      <c r="I28" s="31" t="s">
        <v>594</v>
      </c>
      <c r="J28" s="31" t="s">
        <v>626</v>
      </c>
      <c r="K28" s="31" t="s">
        <v>647</v>
      </c>
      <c r="L28" s="31" t="s">
        <v>660</v>
      </c>
      <c r="M28" s="375" t="s">
        <v>623</v>
      </c>
      <c r="N28" s="375"/>
      <c r="O28" s="31">
        <v>16</v>
      </c>
      <c r="P28" s="31" t="s">
        <v>144</v>
      </c>
      <c r="Q28" s="31" t="s">
        <v>661</v>
      </c>
      <c r="R28" s="31" t="s">
        <v>335</v>
      </c>
      <c r="S28" s="31" t="s">
        <v>341</v>
      </c>
      <c r="T28" s="31" t="s">
        <v>345</v>
      </c>
      <c r="U28" s="31" t="s">
        <v>155</v>
      </c>
      <c r="V28" s="31" t="s">
        <v>576</v>
      </c>
      <c r="W28" s="31" t="s">
        <v>144</v>
      </c>
      <c r="X28" s="31" t="s">
        <v>144</v>
      </c>
      <c r="Y28" s="31" t="s">
        <v>144</v>
      </c>
      <c r="Z28" s="33">
        <v>0.94</v>
      </c>
      <c r="AA28" s="31" t="s">
        <v>144</v>
      </c>
      <c r="AB28" s="31" t="s">
        <v>144</v>
      </c>
      <c r="AC28" s="31" t="s">
        <v>144</v>
      </c>
      <c r="AD28" s="31" t="s">
        <v>144</v>
      </c>
      <c r="AE28" s="31" t="s">
        <v>144</v>
      </c>
      <c r="AF28" s="31" t="s">
        <v>144</v>
      </c>
      <c r="AH28" s="31" t="s">
        <v>196</v>
      </c>
      <c r="AI28" s="31" t="s">
        <v>347</v>
      </c>
      <c r="AJ28" s="31" t="s">
        <v>156</v>
      </c>
      <c r="AK28" s="31" t="s">
        <v>144</v>
      </c>
      <c r="AL28" s="31" t="s">
        <v>346</v>
      </c>
      <c r="AM28" s="31" t="s">
        <v>144</v>
      </c>
      <c r="AN28" s="31" t="s">
        <v>164</v>
      </c>
      <c r="AO28" s="31" t="s">
        <v>758</v>
      </c>
      <c r="AP28" s="31" t="s">
        <v>144</v>
      </c>
      <c r="AQ28" s="31" t="s">
        <v>144</v>
      </c>
      <c r="AR28" s="31" t="s">
        <v>144</v>
      </c>
    </row>
    <row r="29" spans="5:44" s="31" customFormat="1" ht="15" customHeight="1" x14ac:dyDescent="0.3">
      <c r="E29" s="31" t="s">
        <v>132</v>
      </c>
      <c r="F29" s="31" t="s">
        <v>564</v>
      </c>
      <c r="G29" s="31" t="s">
        <v>153</v>
      </c>
      <c r="H29" s="31" t="s">
        <v>154</v>
      </c>
      <c r="I29" s="31" t="s">
        <v>594</v>
      </c>
      <c r="J29" s="31" t="s">
        <v>627</v>
      </c>
      <c r="K29" s="31" t="s">
        <v>652</v>
      </c>
      <c r="L29" s="31" t="s">
        <v>254</v>
      </c>
      <c r="M29" s="375" t="s">
        <v>651</v>
      </c>
      <c r="N29" s="375"/>
      <c r="O29" s="31">
        <v>16</v>
      </c>
      <c r="P29" s="31" t="s">
        <v>144</v>
      </c>
      <c r="Q29" s="31" t="s">
        <v>624</v>
      </c>
      <c r="R29" s="31" t="s">
        <v>335</v>
      </c>
      <c r="S29" s="31" t="s">
        <v>341</v>
      </c>
      <c r="T29" s="31" t="s">
        <v>345</v>
      </c>
      <c r="U29" s="31" t="s">
        <v>155</v>
      </c>
      <c r="V29" s="31" t="s">
        <v>576</v>
      </c>
      <c r="W29" s="31" t="s">
        <v>144</v>
      </c>
      <c r="X29" s="31" t="s">
        <v>144</v>
      </c>
      <c r="Y29" s="31" t="s">
        <v>144</v>
      </c>
      <c r="Z29" s="33">
        <v>0.94</v>
      </c>
      <c r="AA29" s="31" t="s">
        <v>144</v>
      </c>
      <c r="AB29" s="31" t="s">
        <v>144</v>
      </c>
      <c r="AC29" s="31" t="s">
        <v>144</v>
      </c>
      <c r="AD29" s="31" t="s">
        <v>144</v>
      </c>
      <c r="AE29" s="31" t="s">
        <v>144</v>
      </c>
      <c r="AF29" s="31" t="s">
        <v>144</v>
      </c>
      <c r="AH29" s="31" t="s">
        <v>196</v>
      </c>
      <c r="AI29" s="31" t="s">
        <v>347</v>
      </c>
      <c r="AJ29" s="31" t="s">
        <v>156</v>
      </c>
      <c r="AK29" s="31" t="s">
        <v>144</v>
      </c>
      <c r="AL29" s="31" t="s">
        <v>346</v>
      </c>
      <c r="AM29" s="31" t="s">
        <v>144</v>
      </c>
      <c r="AN29" s="31" t="s">
        <v>164</v>
      </c>
      <c r="AO29" s="31" t="s">
        <v>758</v>
      </c>
      <c r="AP29" s="31" t="s">
        <v>144</v>
      </c>
      <c r="AQ29" s="31" t="s">
        <v>144</v>
      </c>
      <c r="AR29" s="31" t="s">
        <v>144</v>
      </c>
    </row>
    <row r="30" spans="5:44" s="31" customFormat="1" ht="15" customHeight="1" x14ac:dyDescent="0.3">
      <c r="E30" s="31" t="s">
        <v>132</v>
      </c>
      <c r="F30" s="31" t="s">
        <v>564</v>
      </c>
      <c r="G30" s="31" t="s">
        <v>153</v>
      </c>
      <c r="H30" s="31" t="s">
        <v>154</v>
      </c>
      <c r="I30" s="31" t="s">
        <v>594</v>
      </c>
      <c r="J30" s="31" t="s">
        <v>627</v>
      </c>
      <c r="K30" s="31" t="s">
        <v>653</v>
      </c>
      <c r="L30" s="31" t="s">
        <v>660</v>
      </c>
      <c r="M30" s="375" t="s">
        <v>623</v>
      </c>
      <c r="N30" s="375"/>
      <c r="O30" s="31">
        <v>16</v>
      </c>
      <c r="P30" s="31" t="s">
        <v>144</v>
      </c>
      <c r="Q30" s="31" t="s">
        <v>661</v>
      </c>
      <c r="R30" s="31" t="s">
        <v>335</v>
      </c>
      <c r="S30" s="31" t="s">
        <v>341</v>
      </c>
      <c r="T30" s="31" t="s">
        <v>345</v>
      </c>
      <c r="U30" s="31" t="s">
        <v>155</v>
      </c>
      <c r="V30" s="31" t="s">
        <v>576</v>
      </c>
      <c r="W30" s="31" t="s">
        <v>144</v>
      </c>
      <c r="X30" s="31" t="s">
        <v>144</v>
      </c>
      <c r="Y30" s="31" t="s">
        <v>144</v>
      </c>
      <c r="Z30" s="33">
        <v>0.94</v>
      </c>
      <c r="AA30" s="31" t="s">
        <v>144</v>
      </c>
      <c r="AB30" s="31" t="s">
        <v>144</v>
      </c>
      <c r="AC30" s="31" t="s">
        <v>144</v>
      </c>
      <c r="AD30" s="31" t="s">
        <v>144</v>
      </c>
      <c r="AE30" s="31" t="s">
        <v>144</v>
      </c>
      <c r="AF30" s="31" t="s">
        <v>144</v>
      </c>
      <c r="AH30" s="31" t="s">
        <v>196</v>
      </c>
      <c r="AI30" s="31" t="s">
        <v>347</v>
      </c>
      <c r="AJ30" s="31" t="s">
        <v>156</v>
      </c>
      <c r="AK30" s="31" t="s">
        <v>144</v>
      </c>
      <c r="AL30" s="31" t="s">
        <v>346</v>
      </c>
      <c r="AM30" s="31" t="s">
        <v>144</v>
      </c>
      <c r="AN30" s="31" t="s">
        <v>164</v>
      </c>
      <c r="AO30" s="31" t="s">
        <v>758</v>
      </c>
      <c r="AP30" s="31" t="s">
        <v>144</v>
      </c>
      <c r="AQ30" s="31" t="s">
        <v>144</v>
      </c>
      <c r="AR30" s="31" t="s">
        <v>144</v>
      </c>
    </row>
    <row r="31" spans="5:44" s="31" customFormat="1" ht="15" customHeight="1" x14ac:dyDescent="0.3">
      <c r="E31" s="31" t="s">
        <v>132</v>
      </c>
      <c r="F31" s="31" t="s">
        <v>564</v>
      </c>
      <c r="G31" s="31" t="s">
        <v>153</v>
      </c>
      <c r="H31" s="31" t="s">
        <v>154</v>
      </c>
      <c r="I31" s="31" t="s">
        <v>594</v>
      </c>
      <c r="J31" s="31" t="s">
        <v>627</v>
      </c>
      <c r="K31" s="31" t="s">
        <v>654</v>
      </c>
      <c r="L31" s="31" t="s">
        <v>254</v>
      </c>
      <c r="M31" s="375" t="s">
        <v>651</v>
      </c>
      <c r="N31" s="375"/>
      <c r="O31" s="31">
        <v>16</v>
      </c>
      <c r="P31" s="31" t="s">
        <v>144</v>
      </c>
      <c r="Q31" s="31" t="s">
        <v>624</v>
      </c>
      <c r="R31" s="31" t="s">
        <v>335</v>
      </c>
      <c r="S31" s="31" t="s">
        <v>341</v>
      </c>
      <c r="T31" s="31" t="s">
        <v>345</v>
      </c>
      <c r="U31" s="31" t="s">
        <v>155</v>
      </c>
      <c r="V31" s="31" t="s">
        <v>576</v>
      </c>
      <c r="W31" s="31" t="s">
        <v>144</v>
      </c>
      <c r="X31" s="31" t="s">
        <v>144</v>
      </c>
      <c r="Y31" s="31" t="s">
        <v>144</v>
      </c>
      <c r="Z31" s="33">
        <v>0.94</v>
      </c>
      <c r="AA31" s="31" t="s">
        <v>144</v>
      </c>
      <c r="AB31" s="31" t="s">
        <v>144</v>
      </c>
      <c r="AC31" s="31" t="s">
        <v>144</v>
      </c>
      <c r="AD31" s="31" t="s">
        <v>144</v>
      </c>
      <c r="AE31" s="31" t="s">
        <v>144</v>
      </c>
      <c r="AF31" s="31" t="s">
        <v>144</v>
      </c>
      <c r="AH31" s="31" t="s">
        <v>196</v>
      </c>
      <c r="AI31" s="31" t="s">
        <v>347</v>
      </c>
      <c r="AJ31" s="31" t="s">
        <v>156</v>
      </c>
      <c r="AK31" s="31" t="s">
        <v>144</v>
      </c>
      <c r="AL31" s="31" t="s">
        <v>346</v>
      </c>
      <c r="AM31" s="31" t="s">
        <v>144</v>
      </c>
      <c r="AN31" s="31" t="s">
        <v>164</v>
      </c>
      <c r="AO31" s="31" t="s">
        <v>758</v>
      </c>
      <c r="AP31" s="31" t="s">
        <v>144</v>
      </c>
      <c r="AQ31" s="31" t="s">
        <v>144</v>
      </c>
      <c r="AR31" s="31" t="s">
        <v>144</v>
      </c>
    </row>
    <row r="32" spans="5:44" s="31" customFormat="1" ht="15" customHeight="1" x14ac:dyDescent="0.3">
      <c r="E32" s="31" t="s">
        <v>132</v>
      </c>
      <c r="F32" s="31" t="s">
        <v>564</v>
      </c>
      <c r="G32" s="31" t="s">
        <v>153</v>
      </c>
      <c r="H32" s="31" t="s">
        <v>154</v>
      </c>
      <c r="I32" s="31" t="s">
        <v>594</v>
      </c>
      <c r="J32" s="31" t="s">
        <v>627</v>
      </c>
      <c r="K32" s="31" t="s">
        <v>655</v>
      </c>
      <c r="L32" s="31" t="s">
        <v>660</v>
      </c>
      <c r="M32" s="375" t="s">
        <v>623</v>
      </c>
      <c r="N32" s="375"/>
      <c r="O32" s="31">
        <v>16</v>
      </c>
      <c r="P32" s="31" t="s">
        <v>144</v>
      </c>
      <c r="Q32" s="31" t="s">
        <v>661</v>
      </c>
      <c r="R32" s="31" t="s">
        <v>335</v>
      </c>
      <c r="S32" s="31" t="s">
        <v>341</v>
      </c>
      <c r="T32" s="31" t="s">
        <v>345</v>
      </c>
      <c r="U32" s="31" t="s">
        <v>155</v>
      </c>
      <c r="V32" s="31" t="s">
        <v>576</v>
      </c>
      <c r="W32" s="31" t="s">
        <v>144</v>
      </c>
      <c r="X32" s="31" t="s">
        <v>144</v>
      </c>
      <c r="Y32" s="31" t="s">
        <v>144</v>
      </c>
      <c r="Z32" s="33">
        <v>0.94</v>
      </c>
      <c r="AA32" s="31" t="s">
        <v>144</v>
      </c>
      <c r="AB32" s="31" t="s">
        <v>144</v>
      </c>
      <c r="AC32" s="31" t="s">
        <v>144</v>
      </c>
      <c r="AD32" s="31" t="s">
        <v>144</v>
      </c>
      <c r="AE32" s="31" t="s">
        <v>144</v>
      </c>
      <c r="AF32" s="31" t="s">
        <v>144</v>
      </c>
      <c r="AH32" s="31" t="s">
        <v>196</v>
      </c>
      <c r="AI32" s="31" t="s">
        <v>347</v>
      </c>
      <c r="AJ32" s="31" t="s">
        <v>156</v>
      </c>
      <c r="AK32" s="31" t="s">
        <v>144</v>
      </c>
      <c r="AL32" s="31" t="s">
        <v>346</v>
      </c>
      <c r="AM32" s="31" t="s">
        <v>144</v>
      </c>
      <c r="AN32" s="31" t="s">
        <v>164</v>
      </c>
      <c r="AO32" s="31" t="s">
        <v>758</v>
      </c>
      <c r="AP32" s="31" t="s">
        <v>144</v>
      </c>
      <c r="AQ32" s="31" t="s">
        <v>144</v>
      </c>
      <c r="AR32" s="31" t="s">
        <v>144</v>
      </c>
    </row>
    <row r="33" spans="5:44" s="31" customFormat="1" ht="15" customHeight="1" x14ac:dyDescent="0.3">
      <c r="E33" s="31" t="s">
        <v>132</v>
      </c>
      <c r="F33" s="31" t="s">
        <v>564</v>
      </c>
      <c r="G33" s="31" t="s">
        <v>153</v>
      </c>
      <c r="H33" s="31" t="s">
        <v>154</v>
      </c>
      <c r="I33" s="31" t="s">
        <v>594</v>
      </c>
      <c r="J33" s="31" t="s">
        <v>627</v>
      </c>
      <c r="K33" s="31" t="s">
        <v>656</v>
      </c>
      <c r="L33" s="31" t="s">
        <v>254</v>
      </c>
      <c r="M33" s="375" t="s">
        <v>651</v>
      </c>
      <c r="N33" s="375"/>
      <c r="O33" s="31">
        <v>16</v>
      </c>
      <c r="P33" s="31" t="s">
        <v>144</v>
      </c>
      <c r="Q33" s="31" t="s">
        <v>624</v>
      </c>
      <c r="R33" s="31" t="s">
        <v>335</v>
      </c>
      <c r="S33" s="31" t="s">
        <v>341</v>
      </c>
      <c r="T33" s="31" t="s">
        <v>345</v>
      </c>
      <c r="U33" s="31" t="s">
        <v>155</v>
      </c>
      <c r="V33" s="31" t="s">
        <v>576</v>
      </c>
      <c r="W33" s="31" t="s">
        <v>144</v>
      </c>
      <c r="X33" s="31" t="s">
        <v>144</v>
      </c>
      <c r="Y33" s="31" t="s">
        <v>144</v>
      </c>
      <c r="Z33" s="33">
        <v>0.94</v>
      </c>
      <c r="AA33" s="31" t="s">
        <v>144</v>
      </c>
      <c r="AB33" s="31" t="s">
        <v>144</v>
      </c>
      <c r="AC33" s="31" t="s">
        <v>144</v>
      </c>
      <c r="AD33" s="31" t="s">
        <v>144</v>
      </c>
      <c r="AE33" s="31" t="s">
        <v>144</v>
      </c>
      <c r="AF33" s="31" t="s">
        <v>144</v>
      </c>
      <c r="AH33" s="31" t="s">
        <v>196</v>
      </c>
      <c r="AI33" s="31" t="s">
        <v>347</v>
      </c>
      <c r="AJ33" s="31" t="s">
        <v>156</v>
      </c>
      <c r="AK33" s="31" t="s">
        <v>144</v>
      </c>
      <c r="AL33" s="31" t="s">
        <v>346</v>
      </c>
      <c r="AM33" s="31" t="s">
        <v>144</v>
      </c>
      <c r="AN33" s="31" t="s">
        <v>164</v>
      </c>
      <c r="AO33" s="31" t="s">
        <v>758</v>
      </c>
      <c r="AP33" s="31" t="s">
        <v>144</v>
      </c>
      <c r="AQ33" s="31" t="s">
        <v>144</v>
      </c>
      <c r="AR33" s="31" t="s">
        <v>144</v>
      </c>
    </row>
    <row r="34" spans="5:44" s="31" customFormat="1" ht="15" customHeight="1" x14ac:dyDescent="0.3">
      <c r="E34" s="31" t="s">
        <v>132</v>
      </c>
      <c r="F34" s="31" t="s">
        <v>564</v>
      </c>
      <c r="G34" s="31" t="s">
        <v>153</v>
      </c>
      <c r="H34" s="31" t="s">
        <v>154</v>
      </c>
      <c r="I34" s="31" t="s">
        <v>594</v>
      </c>
      <c r="J34" s="31" t="s">
        <v>627</v>
      </c>
      <c r="K34" s="31" t="s">
        <v>657</v>
      </c>
      <c r="L34" s="31" t="s">
        <v>660</v>
      </c>
      <c r="M34" s="375" t="s">
        <v>651</v>
      </c>
      <c r="N34" s="375"/>
      <c r="O34" s="31">
        <v>16</v>
      </c>
      <c r="P34" s="31" t="s">
        <v>144</v>
      </c>
      <c r="Q34" s="31" t="s">
        <v>661</v>
      </c>
      <c r="R34" s="31" t="s">
        <v>335</v>
      </c>
      <c r="S34" s="31" t="s">
        <v>341</v>
      </c>
      <c r="T34" s="31" t="s">
        <v>345</v>
      </c>
      <c r="U34" s="31" t="s">
        <v>155</v>
      </c>
      <c r="V34" s="31" t="s">
        <v>576</v>
      </c>
      <c r="W34" s="31" t="s">
        <v>144</v>
      </c>
      <c r="X34" s="31" t="s">
        <v>144</v>
      </c>
      <c r="Y34" s="31" t="s">
        <v>144</v>
      </c>
      <c r="Z34" s="33">
        <v>0.94</v>
      </c>
      <c r="AA34" s="31" t="s">
        <v>144</v>
      </c>
      <c r="AB34" s="31" t="s">
        <v>144</v>
      </c>
      <c r="AC34" s="31" t="s">
        <v>144</v>
      </c>
      <c r="AD34" s="31" t="s">
        <v>144</v>
      </c>
      <c r="AE34" s="31" t="s">
        <v>144</v>
      </c>
      <c r="AF34" s="31" t="s">
        <v>144</v>
      </c>
      <c r="AH34" s="31" t="s">
        <v>196</v>
      </c>
      <c r="AI34" s="31" t="s">
        <v>347</v>
      </c>
      <c r="AJ34" s="31" t="s">
        <v>156</v>
      </c>
      <c r="AK34" s="31" t="s">
        <v>144</v>
      </c>
      <c r="AL34" s="31" t="s">
        <v>346</v>
      </c>
      <c r="AM34" s="31" t="s">
        <v>144</v>
      </c>
      <c r="AN34" s="31" t="s">
        <v>164</v>
      </c>
      <c r="AO34" s="31" t="s">
        <v>758</v>
      </c>
      <c r="AP34" s="31" t="s">
        <v>144</v>
      </c>
      <c r="AQ34" s="31" t="s">
        <v>144</v>
      </c>
      <c r="AR34" s="31" t="s">
        <v>144</v>
      </c>
    </row>
    <row r="35" spans="5:44" s="31" customFormat="1" ht="15" customHeight="1" x14ac:dyDescent="0.3">
      <c r="E35" s="31" t="s">
        <v>132</v>
      </c>
      <c r="F35" s="31" t="s">
        <v>564</v>
      </c>
      <c r="G35" s="31" t="s">
        <v>153</v>
      </c>
      <c r="H35" s="31" t="s">
        <v>154</v>
      </c>
      <c r="I35" s="31" t="s">
        <v>594</v>
      </c>
      <c r="J35" s="31" t="s">
        <v>627</v>
      </c>
      <c r="K35" s="31" t="s">
        <v>658</v>
      </c>
      <c r="L35" s="31" t="s">
        <v>254</v>
      </c>
      <c r="M35" s="375" t="s">
        <v>651</v>
      </c>
      <c r="N35" s="375"/>
      <c r="O35" s="31">
        <v>16</v>
      </c>
      <c r="P35" s="31" t="s">
        <v>144</v>
      </c>
      <c r="Q35" s="31" t="s">
        <v>624</v>
      </c>
      <c r="R35" s="31" t="s">
        <v>335</v>
      </c>
      <c r="S35" s="31" t="s">
        <v>341</v>
      </c>
      <c r="T35" s="31" t="s">
        <v>345</v>
      </c>
      <c r="U35" s="31" t="s">
        <v>155</v>
      </c>
      <c r="V35" s="31" t="s">
        <v>576</v>
      </c>
      <c r="W35" s="31" t="s">
        <v>144</v>
      </c>
      <c r="X35" s="31" t="s">
        <v>144</v>
      </c>
      <c r="Y35" s="31" t="s">
        <v>144</v>
      </c>
      <c r="Z35" s="33">
        <v>0.94</v>
      </c>
      <c r="AA35" s="31" t="s">
        <v>144</v>
      </c>
      <c r="AB35" s="31" t="s">
        <v>144</v>
      </c>
      <c r="AC35" s="31" t="s">
        <v>144</v>
      </c>
      <c r="AD35" s="31" t="s">
        <v>144</v>
      </c>
      <c r="AE35" s="31" t="s">
        <v>144</v>
      </c>
      <c r="AF35" s="31" t="s">
        <v>144</v>
      </c>
      <c r="AH35" s="31" t="s">
        <v>196</v>
      </c>
      <c r="AI35" s="31" t="s">
        <v>347</v>
      </c>
      <c r="AJ35" s="31" t="s">
        <v>156</v>
      </c>
      <c r="AK35" s="31" t="s">
        <v>144</v>
      </c>
      <c r="AL35" s="31" t="s">
        <v>346</v>
      </c>
      <c r="AM35" s="31" t="s">
        <v>144</v>
      </c>
      <c r="AN35" s="31" t="s">
        <v>164</v>
      </c>
      <c r="AO35" s="31" t="s">
        <v>758</v>
      </c>
      <c r="AP35" s="31" t="s">
        <v>144</v>
      </c>
      <c r="AQ35" s="31" t="s">
        <v>144</v>
      </c>
      <c r="AR35" s="31" t="s">
        <v>144</v>
      </c>
    </row>
    <row r="36" spans="5:44" s="31" customFormat="1" ht="15" customHeight="1" x14ac:dyDescent="0.3">
      <c r="E36" s="31" t="s">
        <v>132</v>
      </c>
      <c r="F36" s="31" t="s">
        <v>564</v>
      </c>
      <c r="G36" s="31" t="s">
        <v>153</v>
      </c>
      <c r="H36" s="31" t="s">
        <v>154</v>
      </c>
      <c r="I36" s="31" t="s">
        <v>594</v>
      </c>
      <c r="J36" s="31" t="s">
        <v>627</v>
      </c>
      <c r="K36" s="31" t="s">
        <v>659</v>
      </c>
      <c r="L36" s="31" t="s">
        <v>660</v>
      </c>
      <c r="M36" s="375" t="s">
        <v>651</v>
      </c>
      <c r="N36" s="375"/>
      <c r="O36" s="31">
        <v>16</v>
      </c>
      <c r="P36" s="31" t="s">
        <v>144</v>
      </c>
      <c r="Q36" s="31" t="s">
        <v>661</v>
      </c>
      <c r="R36" s="31" t="s">
        <v>335</v>
      </c>
      <c r="S36" s="31" t="s">
        <v>341</v>
      </c>
      <c r="T36" s="31" t="s">
        <v>345</v>
      </c>
      <c r="U36" s="31" t="s">
        <v>155</v>
      </c>
      <c r="V36" s="31" t="s">
        <v>576</v>
      </c>
      <c r="W36" s="31" t="s">
        <v>144</v>
      </c>
      <c r="X36" s="31" t="s">
        <v>144</v>
      </c>
      <c r="Y36" s="31" t="s">
        <v>144</v>
      </c>
      <c r="Z36" s="33">
        <v>0.94</v>
      </c>
      <c r="AA36" s="31" t="s">
        <v>144</v>
      </c>
      <c r="AB36" s="31" t="s">
        <v>144</v>
      </c>
      <c r="AC36" s="31" t="s">
        <v>144</v>
      </c>
      <c r="AD36" s="31" t="s">
        <v>144</v>
      </c>
      <c r="AE36" s="31" t="s">
        <v>144</v>
      </c>
      <c r="AF36" s="31" t="s">
        <v>144</v>
      </c>
      <c r="AH36" s="31" t="s">
        <v>196</v>
      </c>
      <c r="AI36" s="31" t="s">
        <v>347</v>
      </c>
      <c r="AJ36" s="31" t="s">
        <v>156</v>
      </c>
      <c r="AK36" s="31" t="s">
        <v>144</v>
      </c>
      <c r="AL36" s="31" t="s">
        <v>346</v>
      </c>
      <c r="AM36" s="31" t="s">
        <v>144</v>
      </c>
      <c r="AN36" s="31" t="s">
        <v>164</v>
      </c>
      <c r="AO36" s="31" t="s">
        <v>758</v>
      </c>
      <c r="AP36" s="31" t="s">
        <v>144</v>
      </c>
      <c r="AQ36" s="31" t="s">
        <v>144</v>
      </c>
      <c r="AR36" s="31" t="s">
        <v>144</v>
      </c>
    </row>
    <row r="37" spans="5:44" s="31" customFormat="1" ht="15" customHeight="1" x14ac:dyDescent="0.3">
      <c r="M37" s="375"/>
      <c r="N37" s="375"/>
      <c r="Z37" s="33"/>
    </row>
    <row r="38" spans="5:44" s="31" customFormat="1" ht="15" customHeight="1" x14ac:dyDescent="0.3">
      <c r="E38" s="31" t="s">
        <v>133</v>
      </c>
      <c r="F38" s="31" t="s">
        <v>140</v>
      </c>
      <c r="G38" s="31" t="s">
        <v>348</v>
      </c>
      <c r="H38" s="31" t="s">
        <v>349</v>
      </c>
      <c r="I38" s="31" t="s">
        <v>594</v>
      </c>
      <c r="J38" s="31" t="s">
        <v>663</v>
      </c>
      <c r="K38" s="31" t="s">
        <v>665</v>
      </c>
      <c r="L38" s="31" t="s">
        <v>254</v>
      </c>
      <c r="M38" s="375" t="s">
        <v>679</v>
      </c>
      <c r="N38" s="375" t="s">
        <v>679</v>
      </c>
      <c r="O38" s="31">
        <v>16</v>
      </c>
      <c r="P38" s="31" t="s">
        <v>144</v>
      </c>
      <c r="Q38" s="31" t="s">
        <v>277</v>
      </c>
      <c r="R38" s="31" t="s">
        <v>344</v>
      </c>
      <c r="S38" s="31" t="s">
        <v>278</v>
      </c>
      <c r="T38" s="31" t="s">
        <v>752</v>
      </c>
      <c r="U38" s="31" t="s">
        <v>144</v>
      </c>
      <c r="V38" s="31" t="s">
        <v>144</v>
      </c>
      <c r="W38" s="31" t="s">
        <v>144</v>
      </c>
      <c r="X38" s="31" t="s">
        <v>144</v>
      </c>
      <c r="Y38" s="31" t="s">
        <v>144</v>
      </c>
      <c r="Z38" s="31" t="s">
        <v>144</v>
      </c>
      <c r="AA38" s="381">
        <v>16</v>
      </c>
      <c r="AB38" s="381">
        <v>15</v>
      </c>
      <c r="AC38" s="381">
        <v>0.7</v>
      </c>
      <c r="AD38" s="381">
        <v>0.3</v>
      </c>
      <c r="AE38" s="31">
        <v>1.3</v>
      </c>
      <c r="AF38" s="31">
        <v>28</v>
      </c>
      <c r="AG38" s="31" t="s">
        <v>144</v>
      </c>
      <c r="AH38" s="31" t="s">
        <v>144</v>
      </c>
      <c r="AI38" s="31" t="s">
        <v>144</v>
      </c>
      <c r="AJ38" s="31" t="s">
        <v>144</v>
      </c>
      <c r="AL38" s="31" t="s">
        <v>350</v>
      </c>
      <c r="AM38" s="31" t="s">
        <v>144</v>
      </c>
      <c r="AN38" s="31" t="s">
        <v>164</v>
      </c>
      <c r="AO38" s="31" t="s">
        <v>144</v>
      </c>
      <c r="AP38" s="31" t="s">
        <v>144</v>
      </c>
      <c r="AQ38" s="31" t="s">
        <v>144</v>
      </c>
      <c r="AR38" s="31" t="s">
        <v>144</v>
      </c>
    </row>
    <row r="39" spans="5:44" s="31" customFormat="1" ht="15" customHeight="1" x14ac:dyDescent="0.3">
      <c r="E39" s="31" t="s">
        <v>133</v>
      </c>
      <c r="F39" s="31" t="s">
        <v>140</v>
      </c>
      <c r="G39" s="31" t="s">
        <v>348</v>
      </c>
      <c r="H39" s="31" t="s">
        <v>349</v>
      </c>
      <c r="I39" s="31" t="s">
        <v>594</v>
      </c>
      <c r="J39" s="31" t="s">
        <v>668</v>
      </c>
      <c r="K39" s="31" t="s">
        <v>670</v>
      </c>
      <c r="L39" s="31" t="s">
        <v>254</v>
      </c>
      <c r="M39" s="375" t="s">
        <v>662</v>
      </c>
      <c r="N39" s="375" t="s">
        <v>662</v>
      </c>
      <c r="O39" s="31">
        <v>16</v>
      </c>
      <c r="P39" s="31" t="s">
        <v>144</v>
      </c>
      <c r="Q39" s="31" t="s">
        <v>277</v>
      </c>
      <c r="R39" s="31" t="s">
        <v>344</v>
      </c>
      <c r="S39" s="31" t="s">
        <v>278</v>
      </c>
      <c r="T39" s="31" t="s">
        <v>752</v>
      </c>
      <c r="U39" s="31" t="s">
        <v>144</v>
      </c>
      <c r="V39" s="31" t="s">
        <v>144</v>
      </c>
      <c r="W39" s="31" t="s">
        <v>144</v>
      </c>
      <c r="X39" s="31" t="s">
        <v>144</v>
      </c>
      <c r="Y39" s="31" t="s">
        <v>144</v>
      </c>
      <c r="Z39" s="31" t="s">
        <v>144</v>
      </c>
      <c r="AA39" s="381">
        <f t="shared" ref="AA39:AA41" si="0">+AB39+AC39+AD39</f>
        <v>16.5</v>
      </c>
      <c r="AB39" s="381">
        <v>15.5</v>
      </c>
      <c r="AC39" s="381">
        <v>0.6</v>
      </c>
      <c r="AD39" s="381">
        <v>0.4</v>
      </c>
      <c r="AE39" s="31">
        <v>1.3</v>
      </c>
      <c r="AF39" s="31">
        <v>28</v>
      </c>
      <c r="AG39" s="31" t="s">
        <v>144</v>
      </c>
      <c r="AH39" s="31" t="s">
        <v>144</v>
      </c>
      <c r="AI39" s="31" t="s">
        <v>144</v>
      </c>
      <c r="AJ39" s="31" t="s">
        <v>144</v>
      </c>
      <c r="AL39" s="31" t="s">
        <v>350</v>
      </c>
      <c r="AM39" s="31" t="s">
        <v>144</v>
      </c>
      <c r="AN39" s="31" t="s">
        <v>164</v>
      </c>
      <c r="AO39" s="31" t="s">
        <v>144</v>
      </c>
      <c r="AP39" s="31" t="s">
        <v>144</v>
      </c>
      <c r="AQ39" s="31" t="s">
        <v>144</v>
      </c>
      <c r="AR39" s="31" t="s">
        <v>144</v>
      </c>
    </row>
    <row r="40" spans="5:44" s="31" customFormat="1" ht="15" customHeight="1" x14ac:dyDescent="0.3">
      <c r="E40" s="31" t="s">
        <v>133</v>
      </c>
      <c r="F40" s="31" t="s">
        <v>140</v>
      </c>
      <c r="G40" s="31" t="s">
        <v>348</v>
      </c>
      <c r="H40" s="31" t="s">
        <v>349</v>
      </c>
      <c r="I40" s="31" t="s">
        <v>594</v>
      </c>
      <c r="J40" s="31" t="s">
        <v>673</v>
      </c>
      <c r="K40" s="31" t="s">
        <v>674</v>
      </c>
      <c r="L40" s="31" t="s">
        <v>254</v>
      </c>
      <c r="M40" s="375" t="s">
        <v>680</v>
      </c>
      <c r="N40" s="375" t="s">
        <v>680</v>
      </c>
      <c r="O40" s="31">
        <v>16</v>
      </c>
      <c r="P40" s="31" t="s">
        <v>144</v>
      </c>
      <c r="Q40" s="31" t="s">
        <v>277</v>
      </c>
      <c r="R40" s="31" t="s">
        <v>344</v>
      </c>
      <c r="S40" s="31" t="s">
        <v>278</v>
      </c>
      <c r="T40" s="31" t="s">
        <v>752</v>
      </c>
      <c r="U40" s="31" t="s">
        <v>144</v>
      </c>
      <c r="V40" s="31" t="s">
        <v>144</v>
      </c>
      <c r="W40" s="31" t="s">
        <v>144</v>
      </c>
      <c r="X40" s="31" t="s">
        <v>144</v>
      </c>
      <c r="Y40" s="31" t="s">
        <v>144</v>
      </c>
      <c r="Z40" s="31" t="s">
        <v>144</v>
      </c>
      <c r="AA40" s="381">
        <f t="shared" si="0"/>
        <v>16.5</v>
      </c>
      <c r="AB40" s="381">
        <v>15.5</v>
      </c>
      <c r="AC40" s="381">
        <v>0.6</v>
      </c>
      <c r="AD40" s="381">
        <v>0.4</v>
      </c>
      <c r="AE40" s="31">
        <v>1.3</v>
      </c>
      <c r="AF40" s="31">
        <v>28</v>
      </c>
      <c r="AG40" s="31" t="s">
        <v>144</v>
      </c>
      <c r="AH40" s="31" t="s">
        <v>144</v>
      </c>
      <c r="AI40" s="31" t="s">
        <v>144</v>
      </c>
      <c r="AJ40" s="31" t="s">
        <v>144</v>
      </c>
      <c r="AL40" s="31" t="s">
        <v>350</v>
      </c>
      <c r="AM40" s="31" t="s">
        <v>144</v>
      </c>
      <c r="AN40" s="31" t="s">
        <v>164</v>
      </c>
      <c r="AO40" s="31" t="s">
        <v>144</v>
      </c>
      <c r="AP40" s="31" t="s">
        <v>144</v>
      </c>
      <c r="AQ40" s="31" t="s">
        <v>144</v>
      </c>
      <c r="AR40" s="31" t="s">
        <v>144</v>
      </c>
    </row>
    <row r="41" spans="5:44" s="31" customFormat="1" ht="15" customHeight="1" x14ac:dyDescent="0.3">
      <c r="E41" s="31" t="s">
        <v>133</v>
      </c>
      <c r="F41" s="31" t="s">
        <v>140</v>
      </c>
      <c r="G41" s="31" t="s">
        <v>348</v>
      </c>
      <c r="H41" s="31" t="s">
        <v>349</v>
      </c>
      <c r="I41" s="31" t="s">
        <v>594</v>
      </c>
      <c r="J41" s="31" t="s">
        <v>675</v>
      </c>
      <c r="K41" s="31" t="s">
        <v>676</v>
      </c>
      <c r="L41" s="31" t="s">
        <v>254</v>
      </c>
      <c r="M41" s="375" t="s">
        <v>681</v>
      </c>
      <c r="N41" s="375" t="s">
        <v>681</v>
      </c>
      <c r="O41" s="31">
        <v>16</v>
      </c>
      <c r="P41" s="31" t="s">
        <v>144</v>
      </c>
      <c r="Q41" s="31" t="s">
        <v>277</v>
      </c>
      <c r="R41" s="31" t="s">
        <v>344</v>
      </c>
      <c r="S41" s="31" t="s">
        <v>278</v>
      </c>
      <c r="T41" s="31" t="s">
        <v>752</v>
      </c>
      <c r="U41" s="31" t="s">
        <v>144</v>
      </c>
      <c r="V41" s="31" t="s">
        <v>144</v>
      </c>
      <c r="W41" s="31" t="s">
        <v>144</v>
      </c>
      <c r="X41" s="31" t="s">
        <v>144</v>
      </c>
      <c r="Y41" s="31" t="s">
        <v>144</v>
      </c>
      <c r="Z41" s="31" t="s">
        <v>144</v>
      </c>
      <c r="AA41" s="381">
        <f t="shared" si="0"/>
        <v>16.5</v>
      </c>
      <c r="AB41" s="381">
        <v>15.5</v>
      </c>
      <c r="AC41" s="381">
        <v>0.6</v>
      </c>
      <c r="AD41" s="381">
        <v>0.4</v>
      </c>
      <c r="AE41" s="31">
        <v>1.3</v>
      </c>
      <c r="AF41" s="31">
        <v>28</v>
      </c>
      <c r="AG41" s="31" t="s">
        <v>144</v>
      </c>
      <c r="AH41" s="31" t="s">
        <v>144</v>
      </c>
      <c r="AI41" s="31" t="s">
        <v>144</v>
      </c>
      <c r="AJ41" s="31" t="s">
        <v>144</v>
      </c>
      <c r="AL41" s="31" t="s">
        <v>350</v>
      </c>
      <c r="AM41" s="31" t="s">
        <v>144</v>
      </c>
      <c r="AN41" s="31" t="s">
        <v>164</v>
      </c>
      <c r="AO41" s="31" t="s">
        <v>144</v>
      </c>
      <c r="AP41" s="31" t="s">
        <v>144</v>
      </c>
      <c r="AQ41" s="31" t="s">
        <v>144</v>
      </c>
      <c r="AR41" s="31" t="s">
        <v>144</v>
      </c>
    </row>
    <row r="42" spans="5:44" s="31" customFormat="1" ht="15" customHeight="1" x14ac:dyDescent="0.3">
      <c r="E42" s="31" t="s">
        <v>133</v>
      </c>
      <c r="F42" s="31" t="s">
        <v>140</v>
      </c>
      <c r="G42" s="31" t="s">
        <v>348</v>
      </c>
      <c r="H42" s="31" t="s">
        <v>349</v>
      </c>
      <c r="I42" s="31" t="s">
        <v>594</v>
      </c>
      <c r="J42" s="31" t="s">
        <v>677</v>
      </c>
      <c r="K42" s="31" t="s">
        <v>678</v>
      </c>
      <c r="L42" s="31" t="s">
        <v>254</v>
      </c>
      <c r="M42" s="375" t="s">
        <v>682</v>
      </c>
      <c r="N42" s="375" t="s">
        <v>682</v>
      </c>
      <c r="O42" s="31">
        <v>16</v>
      </c>
      <c r="P42" s="31" t="s">
        <v>144</v>
      </c>
      <c r="Q42" s="31" t="s">
        <v>277</v>
      </c>
      <c r="R42" s="31" t="s">
        <v>344</v>
      </c>
      <c r="S42" s="31" t="s">
        <v>278</v>
      </c>
      <c r="T42" s="31" t="s">
        <v>752</v>
      </c>
      <c r="U42" s="31" t="s">
        <v>144</v>
      </c>
      <c r="V42" s="31" t="s">
        <v>144</v>
      </c>
      <c r="W42" s="31" t="s">
        <v>144</v>
      </c>
      <c r="X42" s="31" t="s">
        <v>144</v>
      </c>
      <c r="Y42" s="31" t="s">
        <v>144</v>
      </c>
      <c r="Z42" s="31" t="s">
        <v>144</v>
      </c>
      <c r="AA42" s="381">
        <f t="shared" ref="AA42" si="1">+AB42+AC42+AD42</f>
        <v>16.5</v>
      </c>
      <c r="AB42" s="381">
        <v>15.5</v>
      </c>
      <c r="AC42" s="381">
        <v>0.6</v>
      </c>
      <c r="AD42" s="381">
        <v>0.4</v>
      </c>
      <c r="AE42" s="31">
        <v>1.3</v>
      </c>
      <c r="AF42" s="31">
        <v>28</v>
      </c>
      <c r="AG42" s="31" t="s">
        <v>144</v>
      </c>
      <c r="AH42" s="31" t="s">
        <v>144</v>
      </c>
      <c r="AI42" s="31" t="s">
        <v>144</v>
      </c>
      <c r="AJ42" s="31" t="s">
        <v>144</v>
      </c>
      <c r="AL42" s="31" t="s">
        <v>350</v>
      </c>
      <c r="AM42" s="31" t="s">
        <v>144</v>
      </c>
      <c r="AN42" s="31" t="s">
        <v>164</v>
      </c>
      <c r="AO42" s="31" t="s">
        <v>144</v>
      </c>
      <c r="AP42" s="31" t="s">
        <v>144</v>
      </c>
      <c r="AQ42" s="31" t="s">
        <v>144</v>
      </c>
      <c r="AR42" s="31" t="s">
        <v>144</v>
      </c>
    </row>
    <row r="43" spans="5:44" s="31" customFormat="1" ht="15" customHeight="1" x14ac:dyDescent="0.3">
      <c r="M43" s="375"/>
      <c r="N43" s="375"/>
      <c r="AA43" s="381"/>
      <c r="AB43" s="381"/>
      <c r="AC43" s="381"/>
      <c r="AD43" s="381"/>
    </row>
    <row r="44" spans="5:44" s="31" customFormat="1" ht="15" customHeight="1" x14ac:dyDescent="0.3">
      <c r="E44" s="31" t="s">
        <v>134</v>
      </c>
      <c r="F44" s="31" t="s">
        <v>140</v>
      </c>
      <c r="G44" s="31" t="s">
        <v>400</v>
      </c>
      <c r="H44" s="31" t="s">
        <v>144</v>
      </c>
      <c r="I44" s="31" t="s">
        <v>594</v>
      </c>
      <c r="J44" s="31" t="s">
        <v>663</v>
      </c>
      <c r="K44" s="31" t="s">
        <v>665</v>
      </c>
      <c r="L44" s="31" t="s">
        <v>683</v>
      </c>
      <c r="M44" s="31" t="s">
        <v>611</v>
      </c>
      <c r="N44" s="375" t="s">
        <v>144</v>
      </c>
      <c r="O44" s="31">
        <v>16</v>
      </c>
      <c r="P44" s="31" t="s">
        <v>144</v>
      </c>
      <c r="Q44" s="31" t="s">
        <v>340</v>
      </c>
      <c r="R44" s="31" t="s">
        <v>709</v>
      </c>
      <c r="S44" s="31" t="s">
        <v>752</v>
      </c>
      <c r="T44" s="31" t="s">
        <v>144</v>
      </c>
      <c r="U44" s="31" t="s">
        <v>144</v>
      </c>
      <c r="V44" s="31" t="s">
        <v>144</v>
      </c>
      <c r="W44" s="31" t="s">
        <v>569</v>
      </c>
      <c r="X44" s="31" t="s">
        <v>200</v>
      </c>
      <c r="Y44" s="31" t="s">
        <v>201</v>
      </c>
      <c r="Z44" s="31" t="s">
        <v>144</v>
      </c>
      <c r="AA44" s="31" t="s">
        <v>144</v>
      </c>
      <c r="AB44" s="31" t="s">
        <v>144</v>
      </c>
      <c r="AC44" s="31" t="s">
        <v>144</v>
      </c>
      <c r="AD44" s="31" t="s">
        <v>144</v>
      </c>
      <c r="AE44" s="31" t="s">
        <v>144</v>
      </c>
      <c r="AF44" s="31" t="s">
        <v>144</v>
      </c>
      <c r="AG44" s="31" t="s">
        <v>144</v>
      </c>
      <c r="AH44" s="31" t="s">
        <v>684</v>
      </c>
      <c r="AI44" s="31" t="s">
        <v>401</v>
      </c>
      <c r="AJ44" s="31" t="s">
        <v>144</v>
      </c>
      <c r="AK44" s="31" t="s">
        <v>144</v>
      </c>
      <c r="AL44" s="31" t="s">
        <v>350</v>
      </c>
      <c r="AM44" s="31" t="s">
        <v>144</v>
      </c>
      <c r="AN44" s="31" t="s">
        <v>164</v>
      </c>
      <c r="AO44" s="31" t="s">
        <v>144</v>
      </c>
      <c r="AP44" s="31" t="s">
        <v>144</v>
      </c>
      <c r="AQ44" s="31" t="s">
        <v>144</v>
      </c>
      <c r="AR44" s="31" t="s">
        <v>144</v>
      </c>
    </row>
    <row r="45" spans="5:44" s="31" customFormat="1" ht="15" customHeight="1" x14ac:dyDescent="0.3">
      <c r="E45" s="31" t="s">
        <v>134</v>
      </c>
      <c r="F45" s="31" t="s">
        <v>140</v>
      </c>
      <c r="G45" s="31" t="s">
        <v>400</v>
      </c>
      <c r="H45" s="31" t="s">
        <v>144</v>
      </c>
      <c r="I45" s="31" t="s">
        <v>594</v>
      </c>
      <c r="J45" s="31" t="s">
        <v>668</v>
      </c>
      <c r="K45" s="31" t="s">
        <v>670</v>
      </c>
      <c r="L45" s="31" t="s">
        <v>683</v>
      </c>
      <c r="M45" s="31" t="s">
        <v>611</v>
      </c>
      <c r="N45" s="375" t="s">
        <v>144</v>
      </c>
      <c r="O45" s="31">
        <v>16</v>
      </c>
      <c r="P45" s="31" t="s">
        <v>144</v>
      </c>
      <c r="Q45" s="31" t="s">
        <v>340</v>
      </c>
      <c r="R45" s="31" t="s">
        <v>709</v>
      </c>
      <c r="S45" s="31" t="s">
        <v>752</v>
      </c>
      <c r="T45" s="31" t="s">
        <v>144</v>
      </c>
      <c r="U45" s="31" t="s">
        <v>144</v>
      </c>
      <c r="V45" s="31" t="s">
        <v>144</v>
      </c>
      <c r="W45" s="31" t="s">
        <v>569</v>
      </c>
      <c r="X45" s="31" t="s">
        <v>200</v>
      </c>
      <c r="Y45" s="31" t="s">
        <v>201</v>
      </c>
      <c r="Z45" s="31" t="s">
        <v>144</v>
      </c>
      <c r="AA45" s="31" t="s">
        <v>144</v>
      </c>
      <c r="AB45" s="31" t="s">
        <v>144</v>
      </c>
      <c r="AC45" s="31" t="s">
        <v>144</v>
      </c>
      <c r="AD45" s="31" t="s">
        <v>144</v>
      </c>
      <c r="AE45" s="31" t="s">
        <v>144</v>
      </c>
      <c r="AF45" s="31" t="s">
        <v>144</v>
      </c>
      <c r="AG45" s="31" t="s">
        <v>144</v>
      </c>
      <c r="AH45" s="31" t="s">
        <v>684</v>
      </c>
      <c r="AI45" s="31" t="s">
        <v>401</v>
      </c>
      <c r="AJ45" s="31" t="s">
        <v>144</v>
      </c>
      <c r="AK45" s="31" t="s">
        <v>144</v>
      </c>
      <c r="AL45" s="31" t="s">
        <v>350</v>
      </c>
      <c r="AM45" s="31" t="s">
        <v>144</v>
      </c>
      <c r="AN45" s="31" t="s">
        <v>164</v>
      </c>
      <c r="AO45" s="31" t="s">
        <v>144</v>
      </c>
      <c r="AP45" s="31" t="s">
        <v>144</v>
      </c>
      <c r="AQ45" s="31" t="s">
        <v>144</v>
      </c>
      <c r="AR45" s="31" t="s">
        <v>144</v>
      </c>
    </row>
    <row r="46" spans="5:44" s="31" customFormat="1" ht="15" customHeight="1" x14ac:dyDescent="0.3">
      <c r="E46" s="31" t="s">
        <v>134</v>
      </c>
      <c r="F46" s="31" t="s">
        <v>140</v>
      </c>
      <c r="G46" s="31" t="s">
        <v>400</v>
      </c>
      <c r="H46" s="31" t="s">
        <v>144</v>
      </c>
      <c r="I46" s="31" t="s">
        <v>594</v>
      </c>
      <c r="J46" s="31" t="s">
        <v>673</v>
      </c>
      <c r="K46" s="31" t="s">
        <v>674</v>
      </c>
      <c r="L46" s="31" t="s">
        <v>683</v>
      </c>
      <c r="M46" s="31" t="s">
        <v>611</v>
      </c>
      <c r="N46" s="375" t="s">
        <v>144</v>
      </c>
      <c r="O46" s="31">
        <v>16</v>
      </c>
      <c r="P46" s="31" t="s">
        <v>144</v>
      </c>
      <c r="Q46" s="31" t="s">
        <v>340</v>
      </c>
      <c r="R46" s="31" t="s">
        <v>709</v>
      </c>
      <c r="S46" s="31" t="s">
        <v>752</v>
      </c>
      <c r="T46" s="31" t="s">
        <v>144</v>
      </c>
      <c r="U46" s="31" t="s">
        <v>144</v>
      </c>
      <c r="V46" s="31" t="s">
        <v>144</v>
      </c>
      <c r="W46" s="31" t="s">
        <v>569</v>
      </c>
      <c r="X46" s="31" t="s">
        <v>200</v>
      </c>
      <c r="Y46" s="31" t="s">
        <v>201</v>
      </c>
      <c r="Z46" s="31" t="s">
        <v>144</v>
      </c>
      <c r="AA46" s="31" t="s">
        <v>144</v>
      </c>
      <c r="AB46" s="31" t="s">
        <v>144</v>
      </c>
      <c r="AC46" s="31" t="s">
        <v>144</v>
      </c>
      <c r="AD46" s="31" t="s">
        <v>144</v>
      </c>
      <c r="AE46" s="31" t="s">
        <v>144</v>
      </c>
      <c r="AF46" s="31" t="s">
        <v>144</v>
      </c>
      <c r="AG46" s="31" t="s">
        <v>144</v>
      </c>
      <c r="AH46" s="31" t="s">
        <v>684</v>
      </c>
      <c r="AI46" s="31" t="s">
        <v>401</v>
      </c>
      <c r="AJ46" s="31" t="s">
        <v>144</v>
      </c>
      <c r="AK46" s="31" t="s">
        <v>144</v>
      </c>
      <c r="AL46" s="31" t="s">
        <v>350</v>
      </c>
      <c r="AM46" s="31" t="s">
        <v>144</v>
      </c>
      <c r="AN46" s="31" t="s">
        <v>164</v>
      </c>
      <c r="AO46" s="31" t="s">
        <v>144</v>
      </c>
      <c r="AP46" s="31" t="s">
        <v>144</v>
      </c>
      <c r="AQ46" s="31" t="s">
        <v>144</v>
      </c>
      <c r="AR46" s="31" t="s">
        <v>144</v>
      </c>
    </row>
    <row r="47" spans="5:44" s="31" customFormat="1" ht="15" customHeight="1" x14ac:dyDescent="0.3">
      <c r="E47" s="31" t="s">
        <v>134</v>
      </c>
      <c r="F47" s="31" t="s">
        <v>140</v>
      </c>
      <c r="G47" s="31" t="s">
        <v>400</v>
      </c>
      <c r="H47" s="31" t="s">
        <v>144</v>
      </c>
      <c r="I47" s="31" t="s">
        <v>594</v>
      </c>
      <c r="J47" s="31" t="s">
        <v>675</v>
      </c>
      <c r="K47" s="31" t="s">
        <v>676</v>
      </c>
      <c r="L47" s="31" t="s">
        <v>683</v>
      </c>
      <c r="M47" s="31" t="s">
        <v>611</v>
      </c>
      <c r="N47" s="375" t="s">
        <v>144</v>
      </c>
      <c r="O47" s="31">
        <v>16</v>
      </c>
      <c r="P47" s="31" t="s">
        <v>144</v>
      </c>
      <c r="Q47" s="31" t="s">
        <v>340</v>
      </c>
      <c r="R47" s="31" t="s">
        <v>709</v>
      </c>
      <c r="S47" s="31" t="s">
        <v>752</v>
      </c>
      <c r="T47" s="31" t="s">
        <v>144</v>
      </c>
      <c r="U47" s="31" t="s">
        <v>144</v>
      </c>
      <c r="V47" s="31" t="s">
        <v>144</v>
      </c>
      <c r="W47" s="31" t="s">
        <v>569</v>
      </c>
      <c r="X47" s="31" t="s">
        <v>200</v>
      </c>
      <c r="Y47" s="31" t="s">
        <v>201</v>
      </c>
      <c r="Z47" s="31" t="s">
        <v>144</v>
      </c>
      <c r="AA47" s="31" t="s">
        <v>144</v>
      </c>
      <c r="AB47" s="31" t="s">
        <v>144</v>
      </c>
      <c r="AC47" s="31" t="s">
        <v>144</v>
      </c>
      <c r="AD47" s="31" t="s">
        <v>144</v>
      </c>
      <c r="AE47" s="31" t="s">
        <v>144</v>
      </c>
      <c r="AF47" s="31" t="s">
        <v>144</v>
      </c>
      <c r="AG47" s="31" t="s">
        <v>144</v>
      </c>
      <c r="AH47" s="31" t="s">
        <v>684</v>
      </c>
      <c r="AI47" s="31" t="s">
        <v>401</v>
      </c>
      <c r="AJ47" s="31" t="s">
        <v>144</v>
      </c>
      <c r="AK47" s="31" t="s">
        <v>144</v>
      </c>
      <c r="AL47" s="31" t="s">
        <v>350</v>
      </c>
      <c r="AM47" s="31" t="s">
        <v>144</v>
      </c>
      <c r="AN47" s="31" t="s">
        <v>164</v>
      </c>
      <c r="AO47" s="31" t="s">
        <v>144</v>
      </c>
      <c r="AP47" s="31" t="s">
        <v>144</v>
      </c>
      <c r="AQ47" s="31" t="s">
        <v>144</v>
      </c>
      <c r="AR47" s="31" t="s">
        <v>144</v>
      </c>
    </row>
    <row r="48" spans="5:44" s="31" customFormat="1" ht="15" customHeight="1" x14ac:dyDescent="0.3">
      <c r="E48" s="31" t="s">
        <v>134</v>
      </c>
      <c r="F48" s="31" t="s">
        <v>140</v>
      </c>
      <c r="G48" s="31" t="s">
        <v>400</v>
      </c>
      <c r="H48" s="31" t="s">
        <v>144</v>
      </c>
      <c r="I48" s="31" t="s">
        <v>594</v>
      </c>
      <c r="J48" s="31" t="s">
        <v>677</v>
      </c>
      <c r="K48" s="31" t="s">
        <v>678</v>
      </c>
      <c r="L48" s="31" t="s">
        <v>683</v>
      </c>
      <c r="M48" s="31" t="s">
        <v>611</v>
      </c>
      <c r="N48" s="375" t="s">
        <v>144</v>
      </c>
      <c r="O48" s="31">
        <v>16</v>
      </c>
      <c r="P48" s="31" t="s">
        <v>144</v>
      </c>
      <c r="Q48" s="31" t="s">
        <v>340</v>
      </c>
      <c r="R48" s="31" t="s">
        <v>709</v>
      </c>
      <c r="S48" s="31" t="s">
        <v>752</v>
      </c>
      <c r="T48" s="31" t="s">
        <v>144</v>
      </c>
      <c r="U48" s="31" t="s">
        <v>144</v>
      </c>
      <c r="V48" s="31" t="s">
        <v>144</v>
      </c>
      <c r="W48" s="31" t="s">
        <v>569</v>
      </c>
      <c r="X48" s="31" t="s">
        <v>200</v>
      </c>
      <c r="Y48" s="31" t="s">
        <v>201</v>
      </c>
      <c r="Z48" s="31" t="s">
        <v>144</v>
      </c>
      <c r="AA48" s="31" t="s">
        <v>144</v>
      </c>
      <c r="AB48" s="31" t="s">
        <v>144</v>
      </c>
      <c r="AC48" s="31" t="s">
        <v>144</v>
      </c>
      <c r="AD48" s="31" t="s">
        <v>144</v>
      </c>
      <c r="AE48" s="31" t="s">
        <v>144</v>
      </c>
      <c r="AF48" s="31" t="s">
        <v>144</v>
      </c>
      <c r="AG48" s="31" t="s">
        <v>144</v>
      </c>
      <c r="AH48" s="31" t="s">
        <v>684</v>
      </c>
      <c r="AI48" s="31" t="s">
        <v>401</v>
      </c>
      <c r="AJ48" s="31" t="s">
        <v>144</v>
      </c>
      <c r="AK48" s="31" t="s">
        <v>144</v>
      </c>
      <c r="AL48" s="31" t="s">
        <v>350</v>
      </c>
      <c r="AM48" s="31" t="s">
        <v>144</v>
      </c>
      <c r="AN48" s="31" t="s">
        <v>164</v>
      </c>
      <c r="AO48" s="31" t="s">
        <v>144</v>
      </c>
      <c r="AP48" s="31" t="s">
        <v>144</v>
      </c>
      <c r="AQ48" s="31" t="s">
        <v>144</v>
      </c>
      <c r="AR48" s="31" t="s">
        <v>144</v>
      </c>
    </row>
    <row r="49" spans="5:44" s="31" customFormat="1" ht="15" customHeight="1" x14ac:dyDescent="0.3">
      <c r="M49" s="375"/>
      <c r="N49" s="375"/>
    </row>
    <row r="50" spans="5:44" s="31" customFormat="1" ht="15" customHeight="1" x14ac:dyDescent="0.3">
      <c r="E50" s="31" t="s">
        <v>135</v>
      </c>
      <c r="F50" s="31" t="s">
        <v>140</v>
      </c>
      <c r="G50" s="31" t="s">
        <v>400</v>
      </c>
      <c r="H50" s="31" t="s">
        <v>402</v>
      </c>
      <c r="I50" s="31" t="s">
        <v>594</v>
      </c>
      <c r="J50" s="31" t="s">
        <v>610</v>
      </c>
      <c r="K50" s="31" t="s">
        <v>685</v>
      </c>
      <c r="L50" s="31" t="s">
        <v>254</v>
      </c>
      <c r="M50" s="31" t="s">
        <v>687</v>
      </c>
      <c r="N50" s="31" t="s">
        <v>144</v>
      </c>
      <c r="O50" s="31" t="s">
        <v>144</v>
      </c>
      <c r="P50" s="31" t="s">
        <v>144</v>
      </c>
      <c r="Q50" s="31" t="s">
        <v>340</v>
      </c>
      <c r="R50" s="31" t="s">
        <v>336</v>
      </c>
      <c r="S50" s="31">
        <v>210</v>
      </c>
      <c r="T50" s="31" t="s">
        <v>144</v>
      </c>
      <c r="U50" s="31" t="s">
        <v>144</v>
      </c>
      <c r="V50" s="31" t="s">
        <v>144</v>
      </c>
      <c r="W50" s="31" t="s">
        <v>144</v>
      </c>
      <c r="X50" s="31" t="s">
        <v>144</v>
      </c>
      <c r="Z50" s="31" t="s">
        <v>144</v>
      </c>
      <c r="AA50" s="31" t="s">
        <v>144</v>
      </c>
      <c r="AB50" s="31" t="s">
        <v>144</v>
      </c>
      <c r="AC50" s="31" t="s">
        <v>144</v>
      </c>
      <c r="AD50" s="31" t="s">
        <v>144</v>
      </c>
      <c r="AE50" s="31" t="s">
        <v>144</v>
      </c>
      <c r="AF50" s="31" t="s">
        <v>144</v>
      </c>
      <c r="AG50" s="31" t="s">
        <v>688</v>
      </c>
      <c r="AH50" s="31" t="s">
        <v>689</v>
      </c>
      <c r="AI50" s="31" t="s">
        <v>144</v>
      </c>
      <c r="AJ50" s="31" t="s">
        <v>144</v>
      </c>
      <c r="AK50" s="31" t="s">
        <v>144</v>
      </c>
      <c r="AL50" s="31" t="s">
        <v>144</v>
      </c>
      <c r="AM50" s="31" t="s">
        <v>144</v>
      </c>
      <c r="AN50" s="31" t="s">
        <v>164</v>
      </c>
      <c r="AO50" s="31" t="s">
        <v>144</v>
      </c>
      <c r="AP50" s="31" t="s">
        <v>144</v>
      </c>
      <c r="AQ50" s="31" t="s">
        <v>144</v>
      </c>
      <c r="AR50" s="31" t="s">
        <v>144</v>
      </c>
    </row>
    <row r="51" spans="5:44" s="31" customFormat="1" ht="15" customHeight="1" x14ac:dyDescent="0.3"/>
    <row r="52" spans="5:44" s="31" customFormat="1" ht="15" customHeight="1" x14ac:dyDescent="0.3">
      <c r="E52" s="31" t="s">
        <v>136</v>
      </c>
      <c r="F52" s="31" t="s">
        <v>564</v>
      </c>
      <c r="G52" s="31" t="s">
        <v>202</v>
      </c>
      <c r="H52" s="31" t="s">
        <v>154</v>
      </c>
      <c r="I52" s="31" t="s">
        <v>594</v>
      </c>
      <c r="J52" s="31" t="s">
        <v>610</v>
      </c>
      <c r="K52" s="31" t="s">
        <v>619</v>
      </c>
      <c r="L52" s="31" t="s">
        <v>254</v>
      </c>
      <c r="M52" s="375" t="s">
        <v>618</v>
      </c>
      <c r="N52" s="375"/>
      <c r="O52" s="31" t="s">
        <v>144</v>
      </c>
      <c r="P52" s="31" t="s">
        <v>144</v>
      </c>
      <c r="Q52" s="31" t="s">
        <v>624</v>
      </c>
      <c r="R52" s="372" t="s">
        <v>335</v>
      </c>
      <c r="S52" s="31" t="s">
        <v>752</v>
      </c>
      <c r="T52" s="31" t="s">
        <v>753</v>
      </c>
      <c r="U52" s="31">
        <v>65</v>
      </c>
      <c r="V52" s="31" t="s">
        <v>144</v>
      </c>
      <c r="W52" s="31" t="s">
        <v>144</v>
      </c>
      <c r="X52" s="31" t="s">
        <v>144</v>
      </c>
      <c r="Z52" s="33">
        <v>0.94</v>
      </c>
      <c r="AA52" s="31" t="s">
        <v>144</v>
      </c>
      <c r="AB52" s="31" t="s">
        <v>144</v>
      </c>
      <c r="AC52" s="31" t="s">
        <v>144</v>
      </c>
      <c r="AD52" s="31" t="s">
        <v>144</v>
      </c>
      <c r="AE52" s="31" t="s">
        <v>144</v>
      </c>
      <c r="AF52" s="31" t="s">
        <v>144</v>
      </c>
      <c r="AH52" s="31" t="s">
        <v>196</v>
      </c>
      <c r="AI52" s="31" t="s">
        <v>203</v>
      </c>
      <c r="AJ52" s="31" t="s">
        <v>754</v>
      </c>
      <c r="AK52" s="31" t="s">
        <v>144</v>
      </c>
      <c r="AL52" s="31" t="s">
        <v>346</v>
      </c>
      <c r="AM52" s="31" t="s">
        <v>144</v>
      </c>
      <c r="AN52" s="31" t="s">
        <v>164</v>
      </c>
      <c r="AO52" s="31" t="s">
        <v>758</v>
      </c>
      <c r="AP52" s="31" t="s">
        <v>144</v>
      </c>
      <c r="AQ52" s="31" t="s">
        <v>144</v>
      </c>
      <c r="AR52" s="31" t="s">
        <v>144</v>
      </c>
    </row>
    <row r="53" spans="5:44" s="31" customFormat="1" ht="15" customHeight="1" x14ac:dyDescent="0.3">
      <c r="E53" s="31" t="s">
        <v>136</v>
      </c>
      <c r="F53" s="31" t="s">
        <v>564</v>
      </c>
      <c r="G53" s="31" t="s">
        <v>202</v>
      </c>
      <c r="H53" s="31" t="s">
        <v>154</v>
      </c>
      <c r="I53" s="31" t="s">
        <v>594</v>
      </c>
      <c r="J53" s="31" t="s">
        <v>610</v>
      </c>
      <c r="K53" s="31" t="s">
        <v>621</v>
      </c>
      <c r="L53" s="31" t="s">
        <v>660</v>
      </c>
      <c r="M53" s="375" t="s">
        <v>623</v>
      </c>
      <c r="N53" s="375"/>
      <c r="O53" s="31" t="s">
        <v>144</v>
      </c>
      <c r="P53" s="31" t="s">
        <v>144</v>
      </c>
      <c r="Q53" s="31" t="s">
        <v>661</v>
      </c>
      <c r="R53" s="372" t="s">
        <v>335</v>
      </c>
      <c r="S53" s="31" t="s">
        <v>752</v>
      </c>
      <c r="T53" s="31" t="s">
        <v>753</v>
      </c>
      <c r="U53" s="31">
        <v>65</v>
      </c>
      <c r="V53" s="31" t="s">
        <v>144</v>
      </c>
      <c r="W53" s="31" t="s">
        <v>144</v>
      </c>
      <c r="X53" s="31" t="s">
        <v>144</v>
      </c>
      <c r="Z53" s="33">
        <v>0.94</v>
      </c>
      <c r="AA53" s="31" t="s">
        <v>144</v>
      </c>
      <c r="AB53" s="31" t="s">
        <v>144</v>
      </c>
      <c r="AC53" s="31" t="s">
        <v>144</v>
      </c>
      <c r="AD53" s="31" t="s">
        <v>144</v>
      </c>
      <c r="AE53" s="31" t="s">
        <v>144</v>
      </c>
      <c r="AF53" s="31" t="s">
        <v>144</v>
      </c>
      <c r="AH53" s="31" t="s">
        <v>196</v>
      </c>
      <c r="AI53" s="31" t="s">
        <v>203</v>
      </c>
      <c r="AJ53" s="31" t="s">
        <v>754</v>
      </c>
      <c r="AK53" s="31" t="s">
        <v>144</v>
      </c>
      <c r="AL53" s="31" t="s">
        <v>346</v>
      </c>
      <c r="AM53" s="31" t="s">
        <v>144</v>
      </c>
      <c r="AN53" s="31" t="s">
        <v>164</v>
      </c>
      <c r="AO53" s="31" t="s">
        <v>758</v>
      </c>
      <c r="AP53" s="31" t="s">
        <v>144</v>
      </c>
      <c r="AQ53" s="31" t="s">
        <v>144</v>
      </c>
      <c r="AR53" s="31" t="s">
        <v>144</v>
      </c>
    </row>
    <row r="54" spans="5:44" s="31" customFormat="1" ht="15" customHeight="1" x14ac:dyDescent="0.3">
      <c r="E54" s="31" t="s">
        <v>136</v>
      </c>
      <c r="F54" s="31" t="s">
        <v>564</v>
      </c>
      <c r="G54" s="31" t="s">
        <v>202</v>
      </c>
      <c r="H54" s="31" t="s">
        <v>154</v>
      </c>
      <c r="I54" s="31" t="s">
        <v>594</v>
      </c>
      <c r="J54" s="31" t="s">
        <v>610</v>
      </c>
      <c r="K54" s="31" t="s">
        <v>620</v>
      </c>
      <c r="L54" s="31" t="s">
        <v>254</v>
      </c>
      <c r="M54" s="375" t="s">
        <v>618</v>
      </c>
      <c r="N54" s="375"/>
      <c r="O54" s="31" t="s">
        <v>144</v>
      </c>
      <c r="P54" s="31" t="s">
        <v>144</v>
      </c>
      <c r="Q54" s="31" t="s">
        <v>624</v>
      </c>
      <c r="R54" s="372" t="s">
        <v>335</v>
      </c>
      <c r="S54" s="31" t="s">
        <v>752</v>
      </c>
      <c r="T54" s="31" t="s">
        <v>753</v>
      </c>
      <c r="U54" s="31">
        <v>65</v>
      </c>
      <c r="V54" s="31" t="s">
        <v>144</v>
      </c>
      <c r="W54" s="31" t="s">
        <v>144</v>
      </c>
      <c r="X54" s="31" t="s">
        <v>144</v>
      </c>
      <c r="Z54" s="33">
        <v>0.94</v>
      </c>
      <c r="AA54" s="31" t="s">
        <v>144</v>
      </c>
      <c r="AB54" s="31" t="s">
        <v>144</v>
      </c>
      <c r="AC54" s="31" t="s">
        <v>144</v>
      </c>
      <c r="AD54" s="31" t="s">
        <v>144</v>
      </c>
      <c r="AE54" s="31" t="s">
        <v>144</v>
      </c>
      <c r="AF54" s="31" t="s">
        <v>144</v>
      </c>
      <c r="AH54" s="31" t="s">
        <v>196</v>
      </c>
      <c r="AI54" s="31" t="s">
        <v>203</v>
      </c>
      <c r="AJ54" s="31" t="s">
        <v>754</v>
      </c>
      <c r="AK54" s="31" t="s">
        <v>144</v>
      </c>
      <c r="AL54" s="31" t="s">
        <v>346</v>
      </c>
      <c r="AM54" s="31" t="s">
        <v>144</v>
      </c>
      <c r="AN54" s="31" t="s">
        <v>164</v>
      </c>
      <c r="AO54" s="31" t="s">
        <v>758</v>
      </c>
      <c r="AP54" s="31" t="s">
        <v>144</v>
      </c>
      <c r="AQ54" s="31" t="s">
        <v>144</v>
      </c>
      <c r="AR54" s="31" t="s">
        <v>144</v>
      </c>
    </row>
    <row r="55" spans="5:44" s="31" customFormat="1" ht="15" customHeight="1" x14ac:dyDescent="0.3">
      <c r="E55" s="31" t="s">
        <v>136</v>
      </c>
      <c r="F55" s="31" t="s">
        <v>564</v>
      </c>
      <c r="G55" s="31" t="s">
        <v>202</v>
      </c>
      <c r="H55" s="31" t="s">
        <v>154</v>
      </c>
      <c r="I55" s="31" t="s">
        <v>594</v>
      </c>
      <c r="J55" s="31" t="s">
        <v>610</v>
      </c>
      <c r="K55" s="31" t="s">
        <v>622</v>
      </c>
      <c r="L55" s="31" t="s">
        <v>660</v>
      </c>
      <c r="M55" s="375" t="s">
        <v>623</v>
      </c>
      <c r="N55" s="375"/>
      <c r="O55" s="31" t="s">
        <v>144</v>
      </c>
      <c r="P55" s="31" t="s">
        <v>144</v>
      </c>
      <c r="Q55" s="31" t="s">
        <v>661</v>
      </c>
      <c r="R55" s="372" t="s">
        <v>335</v>
      </c>
      <c r="S55" s="31" t="s">
        <v>752</v>
      </c>
      <c r="T55" s="31" t="s">
        <v>753</v>
      </c>
      <c r="U55" s="31">
        <v>65</v>
      </c>
      <c r="V55" s="31" t="s">
        <v>144</v>
      </c>
      <c r="W55" s="31" t="s">
        <v>144</v>
      </c>
      <c r="X55" s="31" t="s">
        <v>144</v>
      </c>
      <c r="Z55" s="33">
        <v>0.94</v>
      </c>
      <c r="AA55" s="31" t="s">
        <v>144</v>
      </c>
      <c r="AB55" s="31" t="s">
        <v>144</v>
      </c>
      <c r="AC55" s="31" t="s">
        <v>144</v>
      </c>
      <c r="AD55" s="31" t="s">
        <v>144</v>
      </c>
      <c r="AE55" s="31" t="s">
        <v>144</v>
      </c>
      <c r="AF55" s="31" t="s">
        <v>144</v>
      </c>
      <c r="AH55" s="31" t="s">
        <v>196</v>
      </c>
      <c r="AI55" s="31" t="s">
        <v>203</v>
      </c>
      <c r="AJ55" s="31" t="s">
        <v>754</v>
      </c>
      <c r="AK55" s="31" t="s">
        <v>144</v>
      </c>
      <c r="AL55" s="31" t="s">
        <v>346</v>
      </c>
      <c r="AM55" s="31" t="s">
        <v>144</v>
      </c>
      <c r="AN55" s="31" t="s">
        <v>164</v>
      </c>
      <c r="AO55" s="31" t="s">
        <v>758</v>
      </c>
      <c r="AP55" s="31" t="s">
        <v>144</v>
      </c>
      <c r="AQ55" s="31" t="s">
        <v>144</v>
      </c>
      <c r="AR55" s="31" t="s">
        <v>144</v>
      </c>
    </row>
    <row r="56" spans="5:44" s="31" customFormat="1" ht="15" customHeight="1" x14ac:dyDescent="0.3">
      <c r="E56" s="31" t="s">
        <v>136</v>
      </c>
      <c r="F56" s="31" t="s">
        <v>564</v>
      </c>
      <c r="G56" s="31" t="s">
        <v>202</v>
      </c>
      <c r="H56" s="31" t="s">
        <v>154</v>
      </c>
      <c r="I56" s="31" t="s">
        <v>594</v>
      </c>
      <c r="J56" s="31" t="s">
        <v>607</v>
      </c>
      <c r="K56" s="31" t="s">
        <v>628</v>
      </c>
      <c r="L56" s="31" t="s">
        <v>254</v>
      </c>
      <c r="M56" s="375" t="s">
        <v>623</v>
      </c>
      <c r="N56" s="375"/>
      <c r="O56" s="31" t="s">
        <v>144</v>
      </c>
      <c r="P56" s="31" t="s">
        <v>144</v>
      </c>
      <c r="Q56" s="31" t="s">
        <v>624</v>
      </c>
      <c r="R56" s="372" t="s">
        <v>335</v>
      </c>
      <c r="S56" s="31" t="s">
        <v>752</v>
      </c>
      <c r="T56" s="31" t="s">
        <v>753</v>
      </c>
      <c r="U56" s="31">
        <v>65</v>
      </c>
      <c r="V56" s="31" t="s">
        <v>144</v>
      </c>
      <c r="W56" s="31" t="s">
        <v>144</v>
      </c>
      <c r="X56" s="31" t="s">
        <v>144</v>
      </c>
      <c r="Z56" s="33">
        <v>0.94</v>
      </c>
      <c r="AA56" s="31" t="s">
        <v>144</v>
      </c>
      <c r="AB56" s="31" t="s">
        <v>144</v>
      </c>
      <c r="AC56" s="31" t="s">
        <v>144</v>
      </c>
      <c r="AD56" s="31" t="s">
        <v>144</v>
      </c>
      <c r="AE56" s="31" t="s">
        <v>144</v>
      </c>
      <c r="AF56" s="31" t="s">
        <v>144</v>
      </c>
      <c r="AH56" s="31" t="s">
        <v>196</v>
      </c>
      <c r="AI56" s="31" t="s">
        <v>203</v>
      </c>
      <c r="AJ56" s="31" t="s">
        <v>754</v>
      </c>
      <c r="AK56" s="31" t="s">
        <v>144</v>
      </c>
      <c r="AL56" s="31" t="s">
        <v>346</v>
      </c>
      <c r="AM56" s="31" t="s">
        <v>144</v>
      </c>
      <c r="AN56" s="31" t="s">
        <v>164</v>
      </c>
      <c r="AO56" s="31" t="s">
        <v>758</v>
      </c>
      <c r="AP56" s="31" t="s">
        <v>144</v>
      </c>
      <c r="AQ56" s="31" t="s">
        <v>144</v>
      </c>
      <c r="AR56" s="31" t="s">
        <v>144</v>
      </c>
    </row>
    <row r="57" spans="5:44" s="31" customFormat="1" ht="15" customHeight="1" x14ac:dyDescent="0.3">
      <c r="E57" s="31" t="s">
        <v>136</v>
      </c>
      <c r="F57" s="31" t="s">
        <v>564</v>
      </c>
      <c r="G57" s="31" t="s">
        <v>202</v>
      </c>
      <c r="H57" s="31" t="s">
        <v>154</v>
      </c>
      <c r="I57" s="31" t="s">
        <v>594</v>
      </c>
      <c r="J57" s="31" t="s">
        <v>607</v>
      </c>
      <c r="K57" s="31" t="s">
        <v>629</v>
      </c>
      <c r="L57" s="31" t="s">
        <v>660</v>
      </c>
      <c r="M57" s="375" t="s">
        <v>623</v>
      </c>
      <c r="N57" s="375"/>
      <c r="O57" s="31" t="s">
        <v>144</v>
      </c>
      <c r="P57" s="31" t="s">
        <v>144</v>
      </c>
      <c r="Q57" s="31" t="s">
        <v>661</v>
      </c>
      <c r="R57" s="372" t="s">
        <v>335</v>
      </c>
      <c r="S57" s="31" t="s">
        <v>752</v>
      </c>
      <c r="T57" s="31" t="s">
        <v>753</v>
      </c>
      <c r="U57" s="31">
        <v>65</v>
      </c>
      <c r="V57" s="31" t="s">
        <v>144</v>
      </c>
      <c r="W57" s="31" t="s">
        <v>144</v>
      </c>
      <c r="X57" s="31" t="s">
        <v>144</v>
      </c>
      <c r="Z57" s="33">
        <v>0.94</v>
      </c>
      <c r="AA57" s="31" t="s">
        <v>144</v>
      </c>
      <c r="AB57" s="31" t="s">
        <v>144</v>
      </c>
      <c r="AC57" s="31" t="s">
        <v>144</v>
      </c>
      <c r="AD57" s="31" t="s">
        <v>144</v>
      </c>
      <c r="AE57" s="31" t="s">
        <v>144</v>
      </c>
      <c r="AF57" s="31" t="s">
        <v>144</v>
      </c>
      <c r="AH57" s="31" t="s">
        <v>196</v>
      </c>
      <c r="AI57" s="31" t="s">
        <v>203</v>
      </c>
      <c r="AJ57" s="31" t="s">
        <v>754</v>
      </c>
      <c r="AK57" s="31" t="s">
        <v>144</v>
      </c>
      <c r="AL57" s="31" t="s">
        <v>346</v>
      </c>
      <c r="AM57" s="31" t="s">
        <v>144</v>
      </c>
      <c r="AN57" s="31" t="s">
        <v>164</v>
      </c>
      <c r="AO57" s="31" t="s">
        <v>758</v>
      </c>
      <c r="AP57" s="31" t="s">
        <v>144</v>
      </c>
      <c r="AQ57" s="31" t="s">
        <v>144</v>
      </c>
      <c r="AR57" s="31" t="s">
        <v>144</v>
      </c>
    </row>
    <row r="58" spans="5:44" s="31" customFormat="1" ht="15" customHeight="1" x14ac:dyDescent="0.3">
      <c r="E58" s="31" t="s">
        <v>136</v>
      </c>
      <c r="F58" s="31" t="s">
        <v>564</v>
      </c>
      <c r="G58" s="31" t="s">
        <v>202</v>
      </c>
      <c r="H58" s="31" t="s">
        <v>154</v>
      </c>
      <c r="I58" s="31" t="s">
        <v>594</v>
      </c>
      <c r="J58" s="31" t="s">
        <v>607</v>
      </c>
      <c r="K58" s="31" t="s">
        <v>630</v>
      </c>
      <c r="L58" s="31" t="s">
        <v>254</v>
      </c>
      <c r="M58" s="375" t="s">
        <v>623</v>
      </c>
      <c r="N58" s="375"/>
      <c r="O58" s="31" t="s">
        <v>144</v>
      </c>
      <c r="P58" s="31" t="s">
        <v>144</v>
      </c>
      <c r="Q58" s="31" t="s">
        <v>624</v>
      </c>
      <c r="R58" s="372" t="s">
        <v>335</v>
      </c>
      <c r="S58" s="31" t="s">
        <v>752</v>
      </c>
      <c r="T58" s="31" t="s">
        <v>753</v>
      </c>
      <c r="U58" s="31">
        <v>65</v>
      </c>
      <c r="V58" s="31" t="s">
        <v>144</v>
      </c>
      <c r="W58" s="31" t="s">
        <v>144</v>
      </c>
      <c r="X58" s="31" t="s">
        <v>144</v>
      </c>
      <c r="Z58" s="33">
        <v>0.94</v>
      </c>
      <c r="AA58" s="31" t="s">
        <v>144</v>
      </c>
      <c r="AB58" s="31" t="s">
        <v>144</v>
      </c>
      <c r="AC58" s="31" t="s">
        <v>144</v>
      </c>
      <c r="AD58" s="31" t="s">
        <v>144</v>
      </c>
      <c r="AE58" s="31" t="s">
        <v>144</v>
      </c>
      <c r="AF58" s="31" t="s">
        <v>144</v>
      </c>
      <c r="AH58" s="31" t="s">
        <v>196</v>
      </c>
      <c r="AI58" s="31" t="s">
        <v>203</v>
      </c>
      <c r="AJ58" s="31" t="s">
        <v>754</v>
      </c>
      <c r="AK58" s="31" t="s">
        <v>144</v>
      </c>
      <c r="AL58" s="31" t="s">
        <v>346</v>
      </c>
      <c r="AM58" s="31" t="s">
        <v>144</v>
      </c>
      <c r="AN58" s="31" t="s">
        <v>164</v>
      </c>
      <c r="AO58" s="31" t="s">
        <v>758</v>
      </c>
      <c r="AP58" s="31" t="s">
        <v>144</v>
      </c>
      <c r="AQ58" s="31" t="s">
        <v>144</v>
      </c>
      <c r="AR58" s="31" t="s">
        <v>144</v>
      </c>
    </row>
    <row r="59" spans="5:44" s="31" customFormat="1" ht="15" customHeight="1" x14ac:dyDescent="0.3">
      <c r="E59" s="31" t="s">
        <v>136</v>
      </c>
      <c r="F59" s="31" t="s">
        <v>564</v>
      </c>
      <c r="G59" s="31" t="s">
        <v>202</v>
      </c>
      <c r="H59" s="31" t="s">
        <v>154</v>
      </c>
      <c r="I59" s="31" t="s">
        <v>594</v>
      </c>
      <c r="J59" s="31" t="s">
        <v>607</v>
      </c>
      <c r="K59" s="31" t="s">
        <v>631</v>
      </c>
      <c r="L59" s="31" t="s">
        <v>660</v>
      </c>
      <c r="M59" s="375" t="s">
        <v>623</v>
      </c>
      <c r="N59" s="375"/>
      <c r="O59" s="31" t="s">
        <v>144</v>
      </c>
      <c r="P59" s="31" t="s">
        <v>144</v>
      </c>
      <c r="Q59" s="31" t="s">
        <v>661</v>
      </c>
      <c r="R59" s="372" t="s">
        <v>335</v>
      </c>
      <c r="S59" s="31" t="s">
        <v>752</v>
      </c>
      <c r="T59" s="31" t="s">
        <v>753</v>
      </c>
      <c r="U59" s="31">
        <v>65</v>
      </c>
      <c r="V59" s="31" t="s">
        <v>144</v>
      </c>
      <c r="W59" s="31" t="s">
        <v>144</v>
      </c>
      <c r="X59" s="31" t="s">
        <v>144</v>
      </c>
      <c r="Z59" s="33">
        <v>0.94</v>
      </c>
      <c r="AA59" s="31" t="s">
        <v>144</v>
      </c>
      <c r="AB59" s="31" t="s">
        <v>144</v>
      </c>
      <c r="AC59" s="31" t="s">
        <v>144</v>
      </c>
      <c r="AD59" s="31" t="s">
        <v>144</v>
      </c>
      <c r="AE59" s="31" t="s">
        <v>144</v>
      </c>
      <c r="AF59" s="31" t="s">
        <v>144</v>
      </c>
      <c r="AH59" s="31" t="s">
        <v>196</v>
      </c>
      <c r="AI59" s="31" t="s">
        <v>203</v>
      </c>
      <c r="AJ59" s="31" t="s">
        <v>754</v>
      </c>
      <c r="AK59" s="31" t="s">
        <v>144</v>
      </c>
      <c r="AL59" s="31" t="s">
        <v>346</v>
      </c>
      <c r="AM59" s="31" t="s">
        <v>144</v>
      </c>
      <c r="AN59" s="31" t="s">
        <v>164</v>
      </c>
      <c r="AO59" s="31" t="s">
        <v>758</v>
      </c>
      <c r="AP59" s="31" t="s">
        <v>144</v>
      </c>
      <c r="AQ59" s="31" t="s">
        <v>144</v>
      </c>
      <c r="AR59" s="31" t="s">
        <v>144</v>
      </c>
    </row>
    <row r="60" spans="5:44" s="31" customFormat="1" ht="15" customHeight="1" x14ac:dyDescent="0.3">
      <c r="E60" s="31" t="s">
        <v>136</v>
      </c>
      <c r="F60" s="31" t="s">
        <v>564</v>
      </c>
      <c r="G60" s="31" t="s">
        <v>202</v>
      </c>
      <c r="H60" s="31" t="s">
        <v>154</v>
      </c>
      <c r="I60" s="31" t="s">
        <v>594</v>
      </c>
      <c r="J60" s="31" t="s">
        <v>625</v>
      </c>
      <c r="K60" s="31" t="s">
        <v>632</v>
      </c>
      <c r="L60" s="31" t="s">
        <v>254</v>
      </c>
      <c r="M60" s="375" t="s">
        <v>640</v>
      </c>
      <c r="N60" s="375"/>
      <c r="O60" s="31" t="s">
        <v>144</v>
      </c>
      <c r="P60" s="31" t="s">
        <v>144</v>
      </c>
      <c r="Q60" s="31" t="s">
        <v>641</v>
      </c>
      <c r="R60" s="372" t="s">
        <v>335</v>
      </c>
      <c r="S60" s="31" t="s">
        <v>752</v>
      </c>
      <c r="T60" s="31" t="s">
        <v>753</v>
      </c>
      <c r="U60" s="31">
        <v>65</v>
      </c>
      <c r="V60" s="31" t="s">
        <v>144</v>
      </c>
      <c r="W60" s="31" t="s">
        <v>144</v>
      </c>
      <c r="X60" s="31" t="s">
        <v>144</v>
      </c>
      <c r="Z60" s="33">
        <v>0.94</v>
      </c>
      <c r="AA60" s="31" t="s">
        <v>144</v>
      </c>
      <c r="AB60" s="31" t="s">
        <v>144</v>
      </c>
      <c r="AC60" s="31" t="s">
        <v>144</v>
      </c>
      <c r="AD60" s="31" t="s">
        <v>144</v>
      </c>
      <c r="AE60" s="31" t="s">
        <v>144</v>
      </c>
      <c r="AF60" s="31" t="s">
        <v>144</v>
      </c>
      <c r="AH60" s="31" t="s">
        <v>196</v>
      </c>
      <c r="AI60" s="31" t="s">
        <v>203</v>
      </c>
      <c r="AJ60" s="31" t="s">
        <v>754</v>
      </c>
      <c r="AK60" s="31" t="s">
        <v>144</v>
      </c>
      <c r="AL60" s="31" t="s">
        <v>346</v>
      </c>
      <c r="AM60" s="31" t="s">
        <v>144</v>
      </c>
      <c r="AN60" s="31" t="s">
        <v>164</v>
      </c>
      <c r="AO60" s="31" t="s">
        <v>758</v>
      </c>
      <c r="AP60" s="31" t="s">
        <v>144</v>
      </c>
      <c r="AQ60" s="31" t="s">
        <v>144</v>
      </c>
      <c r="AR60" s="31" t="s">
        <v>144</v>
      </c>
    </row>
    <row r="61" spans="5:44" s="31" customFormat="1" ht="15" customHeight="1" x14ac:dyDescent="0.3">
      <c r="E61" s="31" t="s">
        <v>136</v>
      </c>
      <c r="F61" s="31" t="s">
        <v>564</v>
      </c>
      <c r="G61" s="31" t="s">
        <v>202</v>
      </c>
      <c r="H61" s="31" t="s">
        <v>154</v>
      </c>
      <c r="I61" s="31" t="s">
        <v>594</v>
      </c>
      <c r="J61" s="31" t="s">
        <v>625</v>
      </c>
      <c r="K61" s="31" t="s">
        <v>634</v>
      </c>
      <c r="L61" s="31" t="s">
        <v>660</v>
      </c>
      <c r="M61" s="375" t="s">
        <v>640</v>
      </c>
      <c r="N61" s="375"/>
      <c r="O61" s="31" t="s">
        <v>144</v>
      </c>
      <c r="P61" s="31" t="s">
        <v>144</v>
      </c>
      <c r="Q61" s="31" t="s">
        <v>661</v>
      </c>
      <c r="R61" s="372" t="s">
        <v>335</v>
      </c>
      <c r="S61" s="31" t="s">
        <v>752</v>
      </c>
      <c r="T61" s="31" t="s">
        <v>753</v>
      </c>
      <c r="U61" s="31">
        <v>65</v>
      </c>
      <c r="V61" s="31" t="s">
        <v>144</v>
      </c>
      <c r="W61" s="31" t="s">
        <v>144</v>
      </c>
      <c r="X61" s="31" t="s">
        <v>144</v>
      </c>
      <c r="Z61" s="33">
        <v>0.94</v>
      </c>
      <c r="AA61" s="31" t="s">
        <v>144</v>
      </c>
      <c r="AB61" s="31" t="s">
        <v>144</v>
      </c>
      <c r="AC61" s="31" t="s">
        <v>144</v>
      </c>
      <c r="AD61" s="31" t="s">
        <v>144</v>
      </c>
      <c r="AE61" s="31" t="s">
        <v>144</v>
      </c>
      <c r="AF61" s="31" t="s">
        <v>144</v>
      </c>
      <c r="AH61" s="31" t="s">
        <v>196</v>
      </c>
      <c r="AI61" s="31" t="s">
        <v>203</v>
      </c>
      <c r="AJ61" s="31" t="s">
        <v>754</v>
      </c>
      <c r="AK61" s="31" t="s">
        <v>144</v>
      </c>
      <c r="AL61" s="31" t="s">
        <v>346</v>
      </c>
      <c r="AM61" s="31" t="s">
        <v>144</v>
      </c>
      <c r="AN61" s="31" t="s">
        <v>164</v>
      </c>
      <c r="AO61" s="31" t="s">
        <v>758</v>
      </c>
      <c r="AP61" s="31" t="s">
        <v>144</v>
      </c>
      <c r="AQ61" s="31" t="s">
        <v>144</v>
      </c>
      <c r="AR61" s="31" t="s">
        <v>144</v>
      </c>
    </row>
    <row r="62" spans="5:44" s="31" customFormat="1" ht="15" customHeight="1" x14ac:dyDescent="0.3">
      <c r="E62" s="31" t="s">
        <v>136</v>
      </c>
      <c r="F62" s="31" t="s">
        <v>564</v>
      </c>
      <c r="G62" s="31" t="s">
        <v>202</v>
      </c>
      <c r="H62" s="31" t="s">
        <v>154</v>
      </c>
      <c r="I62" s="31" t="s">
        <v>594</v>
      </c>
      <c r="J62" s="31" t="s">
        <v>625</v>
      </c>
      <c r="K62" s="31" t="s">
        <v>633</v>
      </c>
      <c r="L62" s="31" t="s">
        <v>254</v>
      </c>
      <c r="M62" s="375" t="s">
        <v>640</v>
      </c>
      <c r="N62" s="375"/>
      <c r="O62" s="31" t="s">
        <v>144</v>
      </c>
      <c r="P62" s="31" t="s">
        <v>144</v>
      </c>
      <c r="Q62" s="31" t="s">
        <v>641</v>
      </c>
      <c r="R62" s="372" t="s">
        <v>335</v>
      </c>
      <c r="S62" s="31" t="s">
        <v>752</v>
      </c>
      <c r="T62" s="31" t="s">
        <v>753</v>
      </c>
      <c r="U62" s="31">
        <v>65</v>
      </c>
      <c r="V62" s="31" t="s">
        <v>144</v>
      </c>
      <c r="W62" s="31" t="s">
        <v>144</v>
      </c>
      <c r="X62" s="31" t="s">
        <v>144</v>
      </c>
      <c r="Z62" s="33">
        <v>0.94</v>
      </c>
      <c r="AA62" s="31" t="s">
        <v>144</v>
      </c>
      <c r="AB62" s="31" t="s">
        <v>144</v>
      </c>
      <c r="AC62" s="31" t="s">
        <v>144</v>
      </c>
      <c r="AD62" s="31" t="s">
        <v>144</v>
      </c>
      <c r="AE62" s="31" t="s">
        <v>144</v>
      </c>
      <c r="AF62" s="31" t="s">
        <v>144</v>
      </c>
      <c r="AH62" s="31" t="s">
        <v>196</v>
      </c>
      <c r="AI62" s="31" t="s">
        <v>203</v>
      </c>
      <c r="AJ62" s="31" t="s">
        <v>754</v>
      </c>
      <c r="AK62" s="31" t="s">
        <v>144</v>
      </c>
      <c r="AL62" s="31" t="s">
        <v>346</v>
      </c>
      <c r="AM62" s="31" t="s">
        <v>144</v>
      </c>
      <c r="AN62" s="31" t="s">
        <v>164</v>
      </c>
      <c r="AO62" s="31" t="s">
        <v>758</v>
      </c>
      <c r="AP62" s="31" t="s">
        <v>144</v>
      </c>
      <c r="AQ62" s="31" t="s">
        <v>144</v>
      </c>
      <c r="AR62" s="31" t="s">
        <v>144</v>
      </c>
    </row>
    <row r="63" spans="5:44" s="31" customFormat="1" ht="15" customHeight="1" x14ac:dyDescent="0.3">
      <c r="E63" s="31" t="s">
        <v>136</v>
      </c>
      <c r="F63" s="31" t="s">
        <v>564</v>
      </c>
      <c r="G63" s="31" t="s">
        <v>202</v>
      </c>
      <c r="H63" s="31" t="s">
        <v>154</v>
      </c>
      <c r="I63" s="31" t="s">
        <v>594</v>
      </c>
      <c r="J63" s="31" t="s">
        <v>625</v>
      </c>
      <c r="K63" s="31" t="s">
        <v>635</v>
      </c>
      <c r="L63" s="31" t="s">
        <v>660</v>
      </c>
      <c r="M63" s="375" t="s">
        <v>640</v>
      </c>
      <c r="N63" s="375"/>
      <c r="O63" s="31" t="s">
        <v>144</v>
      </c>
      <c r="P63" s="31" t="s">
        <v>144</v>
      </c>
      <c r="Q63" s="31" t="s">
        <v>661</v>
      </c>
      <c r="R63" s="372" t="s">
        <v>335</v>
      </c>
      <c r="S63" s="31" t="s">
        <v>752</v>
      </c>
      <c r="T63" s="31" t="s">
        <v>753</v>
      </c>
      <c r="U63" s="31">
        <v>65</v>
      </c>
      <c r="V63" s="31" t="s">
        <v>144</v>
      </c>
      <c r="W63" s="31" t="s">
        <v>144</v>
      </c>
      <c r="X63" s="31" t="s">
        <v>144</v>
      </c>
      <c r="Z63" s="33">
        <v>0.94</v>
      </c>
      <c r="AA63" s="31" t="s">
        <v>144</v>
      </c>
      <c r="AB63" s="31" t="s">
        <v>144</v>
      </c>
      <c r="AC63" s="31" t="s">
        <v>144</v>
      </c>
      <c r="AD63" s="31" t="s">
        <v>144</v>
      </c>
      <c r="AE63" s="31" t="s">
        <v>144</v>
      </c>
      <c r="AF63" s="31" t="s">
        <v>144</v>
      </c>
      <c r="AH63" s="31" t="s">
        <v>196</v>
      </c>
      <c r="AI63" s="31" t="s">
        <v>203</v>
      </c>
      <c r="AJ63" s="31" t="s">
        <v>754</v>
      </c>
      <c r="AK63" s="31" t="s">
        <v>144</v>
      </c>
      <c r="AL63" s="31" t="s">
        <v>346</v>
      </c>
      <c r="AM63" s="31" t="s">
        <v>144</v>
      </c>
      <c r="AN63" s="31" t="s">
        <v>164</v>
      </c>
      <c r="AO63" s="31" t="s">
        <v>758</v>
      </c>
      <c r="AP63" s="31" t="s">
        <v>144</v>
      </c>
      <c r="AQ63" s="31" t="s">
        <v>144</v>
      </c>
      <c r="AR63" s="31" t="s">
        <v>144</v>
      </c>
    </row>
    <row r="64" spans="5:44" s="31" customFormat="1" ht="15" customHeight="1" x14ac:dyDescent="0.3">
      <c r="E64" s="31" t="s">
        <v>136</v>
      </c>
      <c r="F64" s="31" t="s">
        <v>564</v>
      </c>
      <c r="G64" s="31" t="s">
        <v>202</v>
      </c>
      <c r="H64" s="31" t="s">
        <v>154</v>
      </c>
      <c r="I64" s="31" t="s">
        <v>594</v>
      </c>
      <c r="J64" s="31" t="s">
        <v>625</v>
      </c>
      <c r="K64" s="31" t="s">
        <v>636</v>
      </c>
      <c r="L64" s="31" t="s">
        <v>254</v>
      </c>
      <c r="M64" s="375" t="s">
        <v>640</v>
      </c>
      <c r="N64" s="375"/>
      <c r="O64" s="31" t="s">
        <v>144</v>
      </c>
      <c r="P64" s="31" t="s">
        <v>144</v>
      </c>
      <c r="Q64" s="31" t="s">
        <v>641</v>
      </c>
      <c r="R64" s="372" t="s">
        <v>335</v>
      </c>
      <c r="S64" s="31" t="s">
        <v>752</v>
      </c>
      <c r="T64" s="31" t="s">
        <v>753</v>
      </c>
      <c r="U64" s="31">
        <v>65</v>
      </c>
      <c r="V64" s="31" t="s">
        <v>144</v>
      </c>
      <c r="W64" s="31" t="s">
        <v>144</v>
      </c>
      <c r="X64" s="31" t="s">
        <v>144</v>
      </c>
      <c r="Z64" s="33">
        <v>0.94</v>
      </c>
      <c r="AA64" s="31" t="s">
        <v>144</v>
      </c>
      <c r="AB64" s="31" t="s">
        <v>144</v>
      </c>
      <c r="AC64" s="31" t="s">
        <v>144</v>
      </c>
      <c r="AD64" s="31" t="s">
        <v>144</v>
      </c>
      <c r="AE64" s="31" t="s">
        <v>144</v>
      </c>
      <c r="AF64" s="31" t="s">
        <v>144</v>
      </c>
      <c r="AH64" s="31" t="s">
        <v>196</v>
      </c>
      <c r="AI64" s="31" t="s">
        <v>203</v>
      </c>
      <c r="AJ64" s="31" t="s">
        <v>754</v>
      </c>
      <c r="AK64" s="31" t="s">
        <v>144</v>
      </c>
      <c r="AL64" s="31" t="s">
        <v>346</v>
      </c>
      <c r="AM64" s="31" t="s">
        <v>144</v>
      </c>
      <c r="AN64" s="31" t="s">
        <v>164</v>
      </c>
      <c r="AO64" s="31" t="s">
        <v>758</v>
      </c>
      <c r="AP64" s="31" t="s">
        <v>144</v>
      </c>
      <c r="AQ64" s="31" t="s">
        <v>144</v>
      </c>
      <c r="AR64" s="31" t="s">
        <v>144</v>
      </c>
    </row>
    <row r="65" spans="5:44" s="31" customFormat="1" ht="15" customHeight="1" x14ac:dyDescent="0.3">
      <c r="E65" s="31" t="s">
        <v>136</v>
      </c>
      <c r="F65" s="31" t="s">
        <v>564</v>
      </c>
      <c r="G65" s="31" t="s">
        <v>202</v>
      </c>
      <c r="H65" s="31" t="s">
        <v>154</v>
      </c>
      <c r="I65" s="31" t="s">
        <v>594</v>
      </c>
      <c r="J65" s="31" t="s">
        <v>625</v>
      </c>
      <c r="K65" s="31" t="s">
        <v>637</v>
      </c>
      <c r="L65" s="31" t="s">
        <v>660</v>
      </c>
      <c r="M65" s="375" t="s">
        <v>640</v>
      </c>
      <c r="N65" s="375"/>
      <c r="O65" s="31" t="s">
        <v>144</v>
      </c>
      <c r="P65" s="31" t="s">
        <v>144</v>
      </c>
      <c r="Q65" s="31" t="s">
        <v>661</v>
      </c>
      <c r="R65" s="372" t="s">
        <v>335</v>
      </c>
      <c r="S65" s="31" t="s">
        <v>752</v>
      </c>
      <c r="T65" s="31" t="s">
        <v>753</v>
      </c>
      <c r="U65" s="31">
        <v>65</v>
      </c>
      <c r="V65" s="31" t="s">
        <v>144</v>
      </c>
      <c r="W65" s="31" t="s">
        <v>144</v>
      </c>
      <c r="X65" s="31" t="s">
        <v>144</v>
      </c>
      <c r="Z65" s="33">
        <v>0.94</v>
      </c>
      <c r="AA65" s="31" t="s">
        <v>144</v>
      </c>
      <c r="AB65" s="31" t="s">
        <v>144</v>
      </c>
      <c r="AC65" s="31" t="s">
        <v>144</v>
      </c>
      <c r="AD65" s="31" t="s">
        <v>144</v>
      </c>
      <c r="AE65" s="31" t="s">
        <v>144</v>
      </c>
      <c r="AF65" s="31" t="s">
        <v>144</v>
      </c>
      <c r="AH65" s="31" t="s">
        <v>196</v>
      </c>
      <c r="AI65" s="31" t="s">
        <v>203</v>
      </c>
      <c r="AJ65" s="31" t="s">
        <v>754</v>
      </c>
      <c r="AK65" s="31" t="s">
        <v>144</v>
      </c>
      <c r="AL65" s="31" t="s">
        <v>346</v>
      </c>
      <c r="AM65" s="31" t="s">
        <v>144</v>
      </c>
      <c r="AN65" s="31" t="s">
        <v>164</v>
      </c>
      <c r="AO65" s="31" t="s">
        <v>758</v>
      </c>
      <c r="AP65" s="31" t="s">
        <v>144</v>
      </c>
      <c r="AQ65" s="31" t="s">
        <v>144</v>
      </c>
      <c r="AR65" s="31" t="s">
        <v>144</v>
      </c>
    </row>
    <row r="66" spans="5:44" s="31" customFormat="1" ht="15" customHeight="1" x14ac:dyDescent="0.3">
      <c r="E66" s="31" t="s">
        <v>136</v>
      </c>
      <c r="F66" s="31" t="s">
        <v>564</v>
      </c>
      <c r="G66" s="31" t="s">
        <v>202</v>
      </c>
      <c r="H66" s="31" t="s">
        <v>154</v>
      </c>
      <c r="I66" s="31" t="s">
        <v>594</v>
      </c>
      <c r="J66" s="31" t="s">
        <v>625</v>
      </c>
      <c r="K66" s="31" t="s">
        <v>638</v>
      </c>
      <c r="L66" s="31" t="s">
        <v>254</v>
      </c>
      <c r="M66" s="375" t="s">
        <v>640</v>
      </c>
      <c r="N66" s="375"/>
      <c r="O66" s="31" t="s">
        <v>144</v>
      </c>
      <c r="P66" s="31" t="s">
        <v>144</v>
      </c>
      <c r="Q66" s="31" t="s">
        <v>641</v>
      </c>
      <c r="R66" s="372" t="s">
        <v>335</v>
      </c>
      <c r="S66" s="31" t="s">
        <v>752</v>
      </c>
      <c r="T66" s="31" t="s">
        <v>753</v>
      </c>
      <c r="U66" s="31">
        <v>65</v>
      </c>
      <c r="V66" s="31" t="s">
        <v>144</v>
      </c>
      <c r="W66" s="31" t="s">
        <v>144</v>
      </c>
      <c r="X66" s="31" t="s">
        <v>144</v>
      </c>
      <c r="Z66" s="33">
        <v>0.94</v>
      </c>
      <c r="AA66" s="31" t="s">
        <v>144</v>
      </c>
      <c r="AB66" s="31" t="s">
        <v>144</v>
      </c>
      <c r="AC66" s="31" t="s">
        <v>144</v>
      </c>
      <c r="AD66" s="31" t="s">
        <v>144</v>
      </c>
      <c r="AE66" s="31" t="s">
        <v>144</v>
      </c>
      <c r="AF66" s="31" t="s">
        <v>144</v>
      </c>
      <c r="AH66" s="31" t="s">
        <v>196</v>
      </c>
      <c r="AI66" s="31" t="s">
        <v>203</v>
      </c>
      <c r="AJ66" s="31" t="s">
        <v>754</v>
      </c>
      <c r="AK66" s="31" t="s">
        <v>144</v>
      </c>
      <c r="AL66" s="31" t="s">
        <v>346</v>
      </c>
      <c r="AM66" s="31" t="s">
        <v>144</v>
      </c>
      <c r="AN66" s="31" t="s">
        <v>164</v>
      </c>
      <c r="AO66" s="31" t="s">
        <v>758</v>
      </c>
      <c r="AP66" s="31" t="s">
        <v>144</v>
      </c>
      <c r="AQ66" s="31" t="s">
        <v>144</v>
      </c>
      <c r="AR66" s="31" t="s">
        <v>144</v>
      </c>
    </row>
    <row r="67" spans="5:44" s="31" customFormat="1" ht="15" customHeight="1" x14ac:dyDescent="0.3">
      <c r="E67" s="31" t="s">
        <v>136</v>
      </c>
      <c r="F67" s="31" t="s">
        <v>564</v>
      </c>
      <c r="G67" s="31" t="s">
        <v>202</v>
      </c>
      <c r="H67" s="31" t="s">
        <v>154</v>
      </c>
      <c r="I67" s="31" t="s">
        <v>594</v>
      </c>
      <c r="J67" s="31" t="s">
        <v>625</v>
      </c>
      <c r="K67" s="31" t="s">
        <v>639</v>
      </c>
      <c r="L67" s="31" t="s">
        <v>660</v>
      </c>
      <c r="M67" s="375" t="s">
        <v>640</v>
      </c>
      <c r="N67" s="375"/>
      <c r="O67" s="31" t="s">
        <v>144</v>
      </c>
      <c r="P67" s="31" t="s">
        <v>144</v>
      </c>
      <c r="Q67" s="31" t="s">
        <v>661</v>
      </c>
      <c r="R67" s="372" t="s">
        <v>335</v>
      </c>
      <c r="S67" s="31" t="s">
        <v>752</v>
      </c>
      <c r="T67" s="31" t="s">
        <v>753</v>
      </c>
      <c r="U67" s="31">
        <v>65</v>
      </c>
      <c r="V67" s="31" t="s">
        <v>144</v>
      </c>
      <c r="W67" s="31" t="s">
        <v>144</v>
      </c>
      <c r="X67" s="31" t="s">
        <v>144</v>
      </c>
      <c r="Z67" s="33">
        <v>0.94</v>
      </c>
      <c r="AA67" s="31" t="s">
        <v>144</v>
      </c>
      <c r="AB67" s="31" t="s">
        <v>144</v>
      </c>
      <c r="AC67" s="31" t="s">
        <v>144</v>
      </c>
      <c r="AD67" s="31" t="s">
        <v>144</v>
      </c>
      <c r="AE67" s="31" t="s">
        <v>144</v>
      </c>
      <c r="AF67" s="31" t="s">
        <v>144</v>
      </c>
      <c r="AH67" s="31" t="s">
        <v>196</v>
      </c>
      <c r="AI67" s="31" t="s">
        <v>203</v>
      </c>
      <c r="AJ67" s="31" t="s">
        <v>754</v>
      </c>
      <c r="AK67" s="31" t="s">
        <v>144</v>
      </c>
      <c r="AL67" s="31" t="s">
        <v>346</v>
      </c>
      <c r="AM67" s="31" t="s">
        <v>144</v>
      </c>
      <c r="AN67" s="31" t="s">
        <v>164</v>
      </c>
      <c r="AO67" s="31" t="s">
        <v>758</v>
      </c>
      <c r="AP67" s="31" t="s">
        <v>144</v>
      </c>
      <c r="AQ67" s="31" t="s">
        <v>144</v>
      </c>
      <c r="AR67" s="31" t="s">
        <v>144</v>
      </c>
    </row>
    <row r="68" spans="5:44" s="31" customFormat="1" ht="15" customHeight="1" x14ac:dyDescent="0.3">
      <c r="E68" s="31" t="s">
        <v>136</v>
      </c>
      <c r="F68" s="31" t="s">
        <v>564</v>
      </c>
      <c r="G68" s="31" t="s">
        <v>202</v>
      </c>
      <c r="H68" s="31" t="s">
        <v>154</v>
      </c>
      <c r="I68" s="31" t="s">
        <v>594</v>
      </c>
      <c r="J68" s="31" t="s">
        <v>626</v>
      </c>
      <c r="K68" s="31" t="s">
        <v>648</v>
      </c>
      <c r="L68" s="31" t="s">
        <v>254</v>
      </c>
      <c r="M68" s="375" t="s">
        <v>650</v>
      </c>
      <c r="N68" s="375"/>
      <c r="O68" s="31" t="s">
        <v>144</v>
      </c>
      <c r="P68" s="31" t="s">
        <v>144</v>
      </c>
      <c r="Q68" s="31" t="s">
        <v>624</v>
      </c>
      <c r="R68" s="372" t="s">
        <v>335</v>
      </c>
      <c r="S68" s="31" t="s">
        <v>752</v>
      </c>
      <c r="T68" s="31" t="s">
        <v>753</v>
      </c>
      <c r="U68" s="31">
        <v>65</v>
      </c>
      <c r="V68" s="31" t="s">
        <v>144</v>
      </c>
      <c r="W68" s="31" t="s">
        <v>144</v>
      </c>
      <c r="X68" s="31" t="s">
        <v>144</v>
      </c>
      <c r="Z68" s="33">
        <v>0.94</v>
      </c>
      <c r="AA68" s="31" t="s">
        <v>144</v>
      </c>
      <c r="AB68" s="31" t="s">
        <v>144</v>
      </c>
      <c r="AC68" s="31" t="s">
        <v>144</v>
      </c>
      <c r="AD68" s="31" t="s">
        <v>144</v>
      </c>
      <c r="AE68" s="31" t="s">
        <v>144</v>
      </c>
      <c r="AF68" s="31" t="s">
        <v>144</v>
      </c>
      <c r="AH68" s="31" t="s">
        <v>196</v>
      </c>
      <c r="AI68" s="31" t="s">
        <v>203</v>
      </c>
      <c r="AJ68" s="31" t="s">
        <v>754</v>
      </c>
      <c r="AK68" s="31" t="s">
        <v>144</v>
      </c>
      <c r="AL68" s="31" t="s">
        <v>346</v>
      </c>
      <c r="AM68" s="31" t="s">
        <v>144</v>
      </c>
      <c r="AN68" s="31" t="s">
        <v>164</v>
      </c>
      <c r="AO68" s="31" t="s">
        <v>758</v>
      </c>
      <c r="AP68" s="31" t="s">
        <v>144</v>
      </c>
      <c r="AQ68" s="31" t="s">
        <v>144</v>
      </c>
      <c r="AR68" s="31" t="s">
        <v>144</v>
      </c>
    </row>
    <row r="69" spans="5:44" s="31" customFormat="1" ht="15" customHeight="1" x14ac:dyDescent="0.3">
      <c r="E69" s="31" t="s">
        <v>136</v>
      </c>
      <c r="F69" s="31" t="s">
        <v>564</v>
      </c>
      <c r="G69" s="31" t="s">
        <v>202</v>
      </c>
      <c r="H69" s="31" t="s">
        <v>154</v>
      </c>
      <c r="I69" s="31" t="s">
        <v>594</v>
      </c>
      <c r="J69" s="31" t="s">
        <v>626</v>
      </c>
      <c r="K69" s="31" t="s">
        <v>649</v>
      </c>
      <c r="L69" s="31" t="s">
        <v>660</v>
      </c>
      <c r="M69" s="375" t="s">
        <v>623</v>
      </c>
      <c r="N69" s="375"/>
      <c r="O69" s="31" t="s">
        <v>144</v>
      </c>
      <c r="P69" s="31" t="s">
        <v>144</v>
      </c>
      <c r="Q69" s="31" t="s">
        <v>661</v>
      </c>
      <c r="R69" s="372" t="s">
        <v>335</v>
      </c>
      <c r="S69" s="31" t="s">
        <v>752</v>
      </c>
      <c r="T69" s="31" t="s">
        <v>753</v>
      </c>
      <c r="U69" s="31">
        <v>65</v>
      </c>
      <c r="V69" s="31" t="s">
        <v>144</v>
      </c>
      <c r="W69" s="31" t="s">
        <v>144</v>
      </c>
      <c r="X69" s="31" t="s">
        <v>144</v>
      </c>
      <c r="Z69" s="33">
        <v>0.94</v>
      </c>
      <c r="AA69" s="31" t="s">
        <v>144</v>
      </c>
      <c r="AB69" s="31" t="s">
        <v>144</v>
      </c>
      <c r="AC69" s="31" t="s">
        <v>144</v>
      </c>
      <c r="AD69" s="31" t="s">
        <v>144</v>
      </c>
      <c r="AE69" s="31" t="s">
        <v>144</v>
      </c>
      <c r="AF69" s="31" t="s">
        <v>144</v>
      </c>
      <c r="AH69" s="31" t="s">
        <v>196</v>
      </c>
      <c r="AI69" s="31" t="s">
        <v>203</v>
      </c>
      <c r="AJ69" s="31" t="s">
        <v>754</v>
      </c>
      <c r="AK69" s="31" t="s">
        <v>144</v>
      </c>
      <c r="AL69" s="31" t="s">
        <v>346</v>
      </c>
      <c r="AM69" s="31" t="s">
        <v>144</v>
      </c>
      <c r="AN69" s="31" t="s">
        <v>164</v>
      </c>
      <c r="AO69" s="31" t="s">
        <v>758</v>
      </c>
      <c r="AP69" s="31" t="s">
        <v>144</v>
      </c>
      <c r="AQ69" s="31" t="s">
        <v>144</v>
      </c>
      <c r="AR69" s="31" t="s">
        <v>144</v>
      </c>
    </row>
    <row r="70" spans="5:44" s="31" customFormat="1" ht="15" customHeight="1" x14ac:dyDescent="0.3">
      <c r="E70" s="31" t="s">
        <v>136</v>
      </c>
      <c r="F70" s="31" t="s">
        <v>564</v>
      </c>
      <c r="G70" s="31" t="s">
        <v>202</v>
      </c>
      <c r="H70" s="31" t="s">
        <v>154</v>
      </c>
      <c r="I70" s="31" t="s">
        <v>594</v>
      </c>
      <c r="J70" s="31" t="s">
        <v>626</v>
      </c>
      <c r="K70" s="31" t="s">
        <v>642</v>
      </c>
      <c r="L70" s="31" t="s">
        <v>254</v>
      </c>
      <c r="M70" s="375" t="s">
        <v>650</v>
      </c>
      <c r="N70" s="375"/>
      <c r="O70" s="31" t="s">
        <v>144</v>
      </c>
      <c r="P70" s="31" t="s">
        <v>144</v>
      </c>
      <c r="Q70" s="31" t="s">
        <v>624</v>
      </c>
      <c r="R70" s="372" t="s">
        <v>335</v>
      </c>
      <c r="S70" s="31" t="s">
        <v>752</v>
      </c>
      <c r="T70" s="31" t="s">
        <v>753</v>
      </c>
      <c r="U70" s="31">
        <v>65</v>
      </c>
      <c r="V70" s="31" t="s">
        <v>144</v>
      </c>
      <c r="W70" s="31" t="s">
        <v>144</v>
      </c>
      <c r="X70" s="31" t="s">
        <v>144</v>
      </c>
      <c r="Z70" s="33">
        <v>0.94</v>
      </c>
      <c r="AA70" s="31" t="s">
        <v>144</v>
      </c>
      <c r="AB70" s="31" t="s">
        <v>144</v>
      </c>
      <c r="AC70" s="31" t="s">
        <v>144</v>
      </c>
      <c r="AD70" s="31" t="s">
        <v>144</v>
      </c>
      <c r="AE70" s="31" t="s">
        <v>144</v>
      </c>
      <c r="AF70" s="31" t="s">
        <v>144</v>
      </c>
      <c r="AH70" s="31" t="s">
        <v>196</v>
      </c>
      <c r="AI70" s="31" t="s">
        <v>203</v>
      </c>
      <c r="AJ70" s="31" t="s">
        <v>754</v>
      </c>
      <c r="AK70" s="31" t="s">
        <v>144</v>
      </c>
      <c r="AL70" s="31" t="s">
        <v>346</v>
      </c>
      <c r="AM70" s="31" t="s">
        <v>144</v>
      </c>
      <c r="AN70" s="31" t="s">
        <v>164</v>
      </c>
      <c r="AO70" s="31" t="s">
        <v>758</v>
      </c>
      <c r="AP70" s="31" t="s">
        <v>144</v>
      </c>
      <c r="AQ70" s="31" t="s">
        <v>144</v>
      </c>
      <c r="AR70" s="31" t="s">
        <v>144</v>
      </c>
    </row>
    <row r="71" spans="5:44" s="31" customFormat="1" ht="15" customHeight="1" x14ac:dyDescent="0.3">
      <c r="E71" s="31" t="s">
        <v>136</v>
      </c>
      <c r="F71" s="31" t="s">
        <v>564</v>
      </c>
      <c r="G71" s="31" t="s">
        <v>202</v>
      </c>
      <c r="H71" s="31" t="s">
        <v>154</v>
      </c>
      <c r="I71" s="31" t="s">
        <v>594</v>
      </c>
      <c r="J71" s="31" t="s">
        <v>626</v>
      </c>
      <c r="K71" s="31" t="s">
        <v>643</v>
      </c>
      <c r="L71" s="31" t="s">
        <v>660</v>
      </c>
      <c r="M71" s="375" t="s">
        <v>623</v>
      </c>
      <c r="N71" s="375"/>
      <c r="O71" s="31" t="s">
        <v>144</v>
      </c>
      <c r="P71" s="31" t="s">
        <v>144</v>
      </c>
      <c r="Q71" s="31" t="s">
        <v>661</v>
      </c>
      <c r="R71" s="372" t="s">
        <v>335</v>
      </c>
      <c r="S71" s="31" t="s">
        <v>752</v>
      </c>
      <c r="T71" s="31" t="s">
        <v>753</v>
      </c>
      <c r="U71" s="31">
        <v>65</v>
      </c>
      <c r="V71" s="31" t="s">
        <v>144</v>
      </c>
      <c r="W71" s="31" t="s">
        <v>144</v>
      </c>
      <c r="X71" s="31" t="s">
        <v>144</v>
      </c>
      <c r="Z71" s="33">
        <v>0.94</v>
      </c>
      <c r="AA71" s="31" t="s">
        <v>144</v>
      </c>
      <c r="AB71" s="31" t="s">
        <v>144</v>
      </c>
      <c r="AC71" s="31" t="s">
        <v>144</v>
      </c>
      <c r="AD71" s="31" t="s">
        <v>144</v>
      </c>
      <c r="AE71" s="31" t="s">
        <v>144</v>
      </c>
      <c r="AF71" s="31" t="s">
        <v>144</v>
      </c>
      <c r="AH71" s="31" t="s">
        <v>196</v>
      </c>
      <c r="AI71" s="31" t="s">
        <v>203</v>
      </c>
      <c r="AJ71" s="31" t="s">
        <v>754</v>
      </c>
      <c r="AK71" s="31" t="s">
        <v>144</v>
      </c>
      <c r="AL71" s="31" t="s">
        <v>346</v>
      </c>
      <c r="AM71" s="31" t="s">
        <v>144</v>
      </c>
      <c r="AN71" s="31" t="s">
        <v>164</v>
      </c>
      <c r="AO71" s="31" t="s">
        <v>758</v>
      </c>
      <c r="AP71" s="31" t="s">
        <v>144</v>
      </c>
      <c r="AQ71" s="31" t="s">
        <v>144</v>
      </c>
      <c r="AR71" s="31" t="s">
        <v>144</v>
      </c>
    </row>
    <row r="72" spans="5:44" s="31" customFormat="1" ht="15" customHeight="1" x14ac:dyDescent="0.3">
      <c r="E72" s="31" t="s">
        <v>136</v>
      </c>
      <c r="F72" s="31" t="s">
        <v>564</v>
      </c>
      <c r="G72" s="31" t="s">
        <v>202</v>
      </c>
      <c r="H72" s="31" t="s">
        <v>154</v>
      </c>
      <c r="I72" s="31" t="s">
        <v>594</v>
      </c>
      <c r="J72" s="31" t="s">
        <v>626</v>
      </c>
      <c r="K72" s="31" t="s">
        <v>644</v>
      </c>
      <c r="L72" s="31" t="s">
        <v>254</v>
      </c>
      <c r="M72" s="375" t="s">
        <v>650</v>
      </c>
      <c r="N72" s="375"/>
      <c r="O72" s="31" t="s">
        <v>144</v>
      </c>
      <c r="P72" s="31" t="s">
        <v>144</v>
      </c>
      <c r="Q72" s="31" t="s">
        <v>624</v>
      </c>
      <c r="R72" s="372" t="s">
        <v>335</v>
      </c>
      <c r="S72" s="31" t="s">
        <v>752</v>
      </c>
      <c r="T72" s="31" t="s">
        <v>753</v>
      </c>
      <c r="U72" s="31">
        <v>65</v>
      </c>
      <c r="V72" s="31" t="s">
        <v>144</v>
      </c>
      <c r="W72" s="31" t="s">
        <v>144</v>
      </c>
      <c r="X72" s="31" t="s">
        <v>144</v>
      </c>
      <c r="Z72" s="33">
        <v>0.94</v>
      </c>
      <c r="AA72" s="31" t="s">
        <v>144</v>
      </c>
      <c r="AB72" s="31" t="s">
        <v>144</v>
      </c>
      <c r="AC72" s="31" t="s">
        <v>144</v>
      </c>
      <c r="AD72" s="31" t="s">
        <v>144</v>
      </c>
      <c r="AE72" s="31" t="s">
        <v>144</v>
      </c>
      <c r="AF72" s="31" t="s">
        <v>144</v>
      </c>
      <c r="AH72" s="31" t="s">
        <v>196</v>
      </c>
      <c r="AI72" s="31" t="s">
        <v>203</v>
      </c>
      <c r="AJ72" s="31" t="s">
        <v>754</v>
      </c>
      <c r="AK72" s="31" t="s">
        <v>144</v>
      </c>
      <c r="AL72" s="31" t="s">
        <v>346</v>
      </c>
      <c r="AM72" s="31" t="s">
        <v>144</v>
      </c>
      <c r="AN72" s="31" t="s">
        <v>164</v>
      </c>
      <c r="AO72" s="31" t="s">
        <v>758</v>
      </c>
      <c r="AP72" s="31" t="s">
        <v>144</v>
      </c>
      <c r="AQ72" s="31" t="s">
        <v>144</v>
      </c>
      <c r="AR72" s="31" t="s">
        <v>144</v>
      </c>
    </row>
    <row r="73" spans="5:44" s="31" customFormat="1" ht="15" customHeight="1" x14ac:dyDescent="0.3">
      <c r="E73" s="31" t="s">
        <v>136</v>
      </c>
      <c r="F73" s="31" t="s">
        <v>564</v>
      </c>
      <c r="G73" s="31" t="s">
        <v>202</v>
      </c>
      <c r="H73" s="31" t="s">
        <v>154</v>
      </c>
      <c r="I73" s="31" t="s">
        <v>594</v>
      </c>
      <c r="J73" s="31" t="s">
        <v>626</v>
      </c>
      <c r="K73" s="31" t="s">
        <v>645</v>
      </c>
      <c r="L73" s="31" t="s">
        <v>660</v>
      </c>
      <c r="M73" s="375" t="s">
        <v>623</v>
      </c>
      <c r="N73" s="375"/>
      <c r="O73" s="31" t="s">
        <v>144</v>
      </c>
      <c r="P73" s="31" t="s">
        <v>144</v>
      </c>
      <c r="Q73" s="31" t="s">
        <v>661</v>
      </c>
      <c r="R73" s="372" t="s">
        <v>335</v>
      </c>
      <c r="S73" s="31" t="s">
        <v>752</v>
      </c>
      <c r="T73" s="31" t="s">
        <v>753</v>
      </c>
      <c r="U73" s="31">
        <v>65</v>
      </c>
      <c r="V73" s="31" t="s">
        <v>144</v>
      </c>
      <c r="W73" s="31" t="s">
        <v>144</v>
      </c>
      <c r="X73" s="31" t="s">
        <v>144</v>
      </c>
      <c r="Z73" s="33">
        <v>0.94</v>
      </c>
      <c r="AA73" s="31" t="s">
        <v>144</v>
      </c>
      <c r="AB73" s="31" t="s">
        <v>144</v>
      </c>
      <c r="AC73" s="31" t="s">
        <v>144</v>
      </c>
      <c r="AD73" s="31" t="s">
        <v>144</v>
      </c>
      <c r="AE73" s="31" t="s">
        <v>144</v>
      </c>
      <c r="AF73" s="31" t="s">
        <v>144</v>
      </c>
      <c r="AH73" s="31" t="s">
        <v>196</v>
      </c>
      <c r="AI73" s="31" t="s">
        <v>203</v>
      </c>
      <c r="AJ73" s="31" t="s">
        <v>754</v>
      </c>
      <c r="AK73" s="31" t="s">
        <v>144</v>
      </c>
      <c r="AL73" s="31" t="s">
        <v>346</v>
      </c>
      <c r="AM73" s="31" t="s">
        <v>144</v>
      </c>
      <c r="AN73" s="31" t="s">
        <v>164</v>
      </c>
      <c r="AO73" s="31" t="s">
        <v>758</v>
      </c>
      <c r="AP73" s="31" t="s">
        <v>144</v>
      </c>
      <c r="AQ73" s="31" t="s">
        <v>144</v>
      </c>
      <c r="AR73" s="31" t="s">
        <v>144</v>
      </c>
    </row>
    <row r="74" spans="5:44" s="31" customFormat="1" ht="15" customHeight="1" x14ac:dyDescent="0.3">
      <c r="E74" s="31" t="s">
        <v>136</v>
      </c>
      <c r="F74" s="31" t="s">
        <v>564</v>
      </c>
      <c r="G74" s="31" t="s">
        <v>202</v>
      </c>
      <c r="H74" s="31" t="s">
        <v>154</v>
      </c>
      <c r="I74" s="31" t="s">
        <v>594</v>
      </c>
      <c r="J74" s="31" t="s">
        <v>626</v>
      </c>
      <c r="K74" s="31" t="s">
        <v>646</v>
      </c>
      <c r="L74" s="31" t="s">
        <v>254</v>
      </c>
      <c r="M74" s="375" t="s">
        <v>650</v>
      </c>
      <c r="N74" s="375"/>
      <c r="O74" s="31" t="s">
        <v>144</v>
      </c>
      <c r="P74" s="31" t="s">
        <v>144</v>
      </c>
      <c r="Q74" s="31" t="s">
        <v>624</v>
      </c>
      <c r="R74" s="372" t="s">
        <v>335</v>
      </c>
      <c r="S74" s="31" t="s">
        <v>752</v>
      </c>
      <c r="T74" s="31" t="s">
        <v>753</v>
      </c>
      <c r="U74" s="31">
        <v>65</v>
      </c>
      <c r="V74" s="31" t="s">
        <v>144</v>
      </c>
      <c r="W74" s="31" t="s">
        <v>144</v>
      </c>
      <c r="X74" s="31" t="s">
        <v>144</v>
      </c>
      <c r="Z74" s="33">
        <v>0.94</v>
      </c>
      <c r="AA74" s="31" t="s">
        <v>144</v>
      </c>
      <c r="AB74" s="31" t="s">
        <v>144</v>
      </c>
      <c r="AC74" s="31" t="s">
        <v>144</v>
      </c>
      <c r="AD74" s="31" t="s">
        <v>144</v>
      </c>
      <c r="AE74" s="31" t="s">
        <v>144</v>
      </c>
      <c r="AF74" s="31" t="s">
        <v>144</v>
      </c>
      <c r="AH74" s="31" t="s">
        <v>196</v>
      </c>
      <c r="AI74" s="31" t="s">
        <v>203</v>
      </c>
      <c r="AJ74" s="31" t="s">
        <v>754</v>
      </c>
      <c r="AK74" s="31" t="s">
        <v>144</v>
      </c>
      <c r="AL74" s="31" t="s">
        <v>346</v>
      </c>
      <c r="AM74" s="31" t="s">
        <v>144</v>
      </c>
      <c r="AN74" s="31" t="s">
        <v>164</v>
      </c>
      <c r="AO74" s="31" t="s">
        <v>758</v>
      </c>
      <c r="AP74" s="31" t="s">
        <v>144</v>
      </c>
      <c r="AQ74" s="31" t="s">
        <v>144</v>
      </c>
      <c r="AR74" s="31" t="s">
        <v>144</v>
      </c>
    </row>
    <row r="75" spans="5:44" s="31" customFormat="1" ht="15" customHeight="1" x14ac:dyDescent="0.3">
      <c r="E75" s="31" t="s">
        <v>136</v>
      </c>
      <c r="F75" s="31" t="s">
        <v>564</v>
      </c>
      <c r="G75" s="31" t="s">
        <v>202</v>
      </c>
      <c r="H75" s="31" t="s">
        <v>154</v>
      </c>
      <c r="I75" s="31" t="s">
        <v>594</v>
      </c>
      <c r="J75" s="31" t="s">
        <v>626</v>
      </c>
      <c r="K75" s="31" t="s">
        <v>647</v>
      </c>
      <c r="L75" s="31" t="s">
        <v>660</v>
      </c>
      <c r="M75" s="375" t="s">
        <v>623</v>
      </c>
      <c r="N75" s="375"/>
      <c r="O75" s="31" t="s">
        <v>144</v>
      </c>
      <c r="P75" s="31" t="s">
        <v>144</v>
      </c>
      <c r="Q75" s="31" t="s">
        <v>661</v>
      </c>
      <c r="R75" s="372" t="s">
        <v>335</v>
      </c>
      <c r="S75" s="31" t="s">
        <v>752</v>
      </c>
      <c r="T75" s="31" t="s">
        <v>753</v>
      </c>
      <c r="U75" s="31">
        <v>65</v>
      </c>
      <c r="V75" s="31" t="s">
        <v>144</v>
      </c>
      <c r="W75" s="31" t="s">
        <v>144</v>
      </c>
      <c r="X75" s="31" t="s">
        <v>144</v>
      </c>
      <c r="Z75" s="33">
        <v>0.94</v>
      </c>
      <c r="AA75" s="31" t="s">
        <v>144</v>
      </c>
      <c r="AB75" s="31" t="s">
        <v>144</v>
      </c>
      <c r="AC75" s="31" t="s">
        <v>144</v>
      </c>
      <c r="AD75" s="31" t="s">
        <v>144</v>
      </c>
      <c r="AE75" s="31" t="s">
        <v>144</v>
      </c>
      <c r="AF75" s="31" t="s">
        <v>144</v>
      </c>
      <c r="AH75" s="31" t="s">
        <v>196</v>
      </c>
      <c r="AI75" s="31" t="s">
        <v>203</v>
      </c>
      <c r="AJ75" s="31" t="s">
        <v>754</v>
      </c>
      <c r="AK75" s="31" t="s">
        <v>144</v>
      </c>
      <c r="AL75" s="31" t="s">
        <v>346</v>
      </c>
      <c r="AM75" s="31" t="s">
        <v>144</v>
      </c>
      <c r="AN75" s="31" t="s">
        <v>164</v>
      </c>
      <c r="AO75" s="31" t="s">
        <v>758</v>
      </c>
      <c r="AP75" s="31" t="s">
        <v>144</v>
      </c>
      <c r="AQ75" s="31" t="s">
        <v>144</v>
      </c>
      <c r="AR75" s="31" t="s">
        <v>144</v>
      </c>
    </row>
    <row r="76" spans="5:44" s="31" customFormat="1" ht="15" customHeight="1" x14ac:dyDescent="0.3">
      <c r="E76" s="31" t="s">
        <v>136</v>
      </c>
      <c r="F76" s="31" t="s">
        <v>564</v>
      </c>
      <c r="G76" s="31" t="s">
        <v>202</v>
      </c>
      <c r="H76" s="31" t="s">
        <v>154</v>
      </c>
      <c r="I76" s="31" t="s">
        <v>594</v>
      </c>
      <c r="J76" s="31" t="s">
        <v>627</v>
      </c>
      <c r="K76" s="31" t="s">
        <v>652</v>
      </c>
      <c r="L76" s="31" t="s">
        <v>254</v>
      </c>
      <c r="M76" s="375" t="s">
        <v>651</v>
      </c>
      <c r="N76" s="375"/>
      <c r="O76" s="31" t="s">
        <v>144</v>
      </c>
      <c r="P76" s="31" t="s">
        <v>144</v>
      </c>
      <c r="Q76" s="31" t="s">
        <v>624</v>
      </c>
      <c r="R76" s="372" t="s">
        <v>335</v>
      </c>
      <c r="S76" s="31" t="s">
        <v>752</v>
      </c>
      <c r="T76" s="31" t="s">
        <v>753</v>
      </c>
      <c r="U76" s="31">
        <v>65</v>
      </c>
      <c r="V76" s="31" t="s">
        <v>144</v>
      </c>
      <c r="W76" s="31" t="s">
        <v>144</v>
      </c>
      <c r="X76" s="31" t="s">
        <v>144</v>
      </c>
      <c r="Z76" s="33">
        <v>0.94</v>
      </c>
      <c r="AA76" s="31" t="s">
        <v>144</v>
      </c>
      <c r="AB76" s="31" t="s">
        <v>144</v>
      </c>
      <c r="AC76" s="31" t="s">
        <v>144</v>
      </c>
      <c r="AD76" s="31" t="s">
        <v>144</v>
      </c>
      <c r="AE76" s="31" t="s">
        <v>144</v>
      </c>
      <c r="AF76" s="31" t="s">
        <v>144</v>
      </c>
      <c r="AH76" s="31" t="s">
        <v>196</v>
      </c>
      <c r="AI76" s="31" t="s">
        <v>203</v>
      </c>
      <c r="AJ76" s="31" t="s">
        <v>754</v>
      </c>
      <c r="AK76" s="31" t="s">
        <v>144</v>
      </c>
      <c r="AL76" s="31" t="s">
        <v>346</v>
      </c>
      <c r="AM76" s="31" t="s">
        <v>144</v>
      </c>
      <c r="AN76" s="31" t="s">
        <v>164</v>
      </c>
      <c r="AO76" s="31" t="s">
        <v>758</v>
      </c>
      <c r="AP76" s="31" t="s">
        <v>144</v>
      </c>
      <c r="AQ76" s="31" t="s">
        <v>144</v>
      </c>
      <c r="AR76" s="31" t="s">
        <v>144</v>
      </c>
    </row>
    <row r="77" spans="5:44" s="31" customFormat="1" ht="15" customHeight="1" x14ac:dyDescent="0.3">
      <c r="E77" s="31" t="s">
        <v>136</v>
      </c>
      <c r="F77" s="31" t="s">
        <v>564</v>
      </c>
      <c r="G77" s="31" t="s">
        <v>202</v>
      </c>
      <c r="H77" s="31" t="s">
        <v>154</v>
      </c>
      <c r="I77" s="31" t="s">
        <v>594</v>
      </c>
      <c r="J77" s="31" t="s">
        <v>627</v>
      </c>
      <c r="K77" s="31" t="s">
        <v>653</v>
      </c>
      <c r="L77" s="31" t="s">
        <v>660</v>
      </c>
      <c r="M77" s="375" t="s">
        <v>623</v>
      </c>
      <c r="N77" s="375"/>
      <c r="O77" s="31" t="s">
        <v>144</v>
      </c>
      <c r="P77" s="31" t="s">
        <v>144</v>
      </c>
      <c r="Q77" s="31" t="s">
        <v>661</v>
      </c>
      <c r="R77" s="372" t="s">
        <v>335</v>
      </c>
      <c r="S77" s="31" t="s">
        <v>752</v>
      </c>
      <c r="T77" s="31" t="s">
        <v>753</v>
      </c>
      <c r="U77" s="31">
        <v>65</v>
      </c>
      <c r="V77" s="31" t="s">
        <v>144</v>
      </c>
      <c r="W77" s="31" t="s">
        <v>144</v>
      </c>
      <c r="X77" s="31" t="s">
        <v>144</v>
      </c>
      <c r="Z77" s="33">
        <v>0.94</v>
      </c>
      <c r="AA77" s="31" t="s">
        <v>144</v>
      </c>
      <c r="AB77" s="31" t="s">
        <v>144</v>
      </c>
      <c r="AC77" s="31" t="s">
        <v>144</v>
      </c>
      <c r="AD77" s="31" t="s">
        <v>144</v>
      </c>
      <c r="AE77" s="31" t="s">
        <v>144</v>
      </c>
      <c r="AF77" s="31" t="s">
        <v>144</v>
      </c>
      <c r="AH77" s="31" t="s">
        <v>196</v>
      </c>
      <c r="AI77" s="31" t="s">
        <v>203</v>
      </c>
      <c r="AJ77" s="31" t="s">
        <v>754</v>
      </c>
      <c r="AK77" s="31" t="s">
        <v>144</v>
      </c>
      <c r="AL77" s="31" t="s">
        <v>346</v>
      </c>
      <c r="AM77" s="31" t="s">
        <v>144</v>
      </c>
      <c r="AN77" s="31" t="s">
        <v>164</v>
      </c>
      <c r="AO77" s="31" t="s">
        <v>758</v>
      </c>
      <c r="AP77" s="31" t="s">
        <v>144</v>
      </c>
      <c r="AQ77" s="31" t="s">
        <v>144</v>
      </c>
      <c r="AR77" s="31" t="s">
        <v>144</v>
      </c>
    </row>
    <row r="78" spans="5:44" s="31" customFormat="1" ht="15" customHeight="1" x14ac:dyDescent="0.3">
      <c r="E78" s="31" t="s">
        <v>136</v>
      </c>
      <c r="F78" s="31" t="s">
        <v>564</v>
      </c>
      <c r="G78" s="31" t="s">
        <v>202</v>
      </c>
      <c r="H78" s="31" t="s">
        <v>154</v>
      </c>
      <c r="I78" s="31" t="s">
        <v>594</v>
      </c>
      <c r="J78" s="31" t="s">
        <v>627</v>
      </c>
      <c r="K78" s="31" t="s">
        <v>654</v>
      </c>
      <c r="L78" s="31" t="s">
        <v>254</v>
      </c>
      <c r="M78" s="375" t="s">
        <v>651</v>
      </c>
      <c r="N78" s="375"/>
      <c r="O78" s="31" t="s">
        <v>144</v>
      </c>
      <c r="P78" s="31" t="s">
        <v>144</v>
      </c>
      <c r="Q78" s="31" t="s">
        <v>624</v>
      </c>
      <c r="R78" s="372" t="s">
        <v>335</v>
      </c>
      <c r="S78" s="31" t="s">
        <v>752</v>
      </c>
      <c r="T78" s="31" t="s">
        <v>753</v>
      </c>
      <c r="U78" s="31">
        <v>65</v>
      </c>
      <c r="V78" s="31" t="s">
        <v>144</v>
      </c>
      <c r="W78" s="31" t="s">
        <v>144</v>
      </c>
      <c r="X78" s="31" t="s">
        <v>144</v>
      </c>
      <c r="Z78" s="33">
        <v>0.94</v>
      </c>
      <c r="AA78" s="31" t="s">
        <v>144</v>
      </c>
      <c r="AB78" s="31" t="s">
        <v>144</v>
      </c>
      <c r="AC78" s="31" t="s">
        <v>144</v>
      </c>
      <c r="AD78" s="31" t="s">
        <v>144</v>
      </c>
      <c r="AE78" s="31" t="s">
        <v>144</v>
      </c>
      <c r="AF78" s="31" t="s">
        <v>144</v>
      </c>
      <c r="AH78" s="31" t="s">
        <v>196</v>
      </c>
      <c r="AI78" s="31" t="s">
        <v>203</v>
      </c>
      <c r="AJ78" s="31" t="s">
        <v>754</v>
      </c>
      <c r="AK78" s="31" t="s">
        <v>144</v>
      </c>
      <c r="AL78" s="31" t="s">
        <v>346</v>
      </c>
      <c r="AM78" s="31" t="s">
        <v>144</v>
      </c>
      <c r="AN78" s="31" t="s">
        <v>164</v>
      </c>
      <c r="AO78" s="31" t="s">
        <v>758</v>
      </c>
      <c r="AP78" s="31" t="s">
        <v>144</v>
      </c>
      <c r="AQ78" s="31" t="s">
        <v>144</v>
      </c>
      <c r="AR78" s="31" t="s">
        <v>144</v>
      </c>
    </row>
    <row r="79" spans="5:44" s="31" customFormat="1" ht="15" customHeight="1" x14ac:dyDescent="0.3">
      <c r="E79" s="31" t="s">
        <v>136</v>
      </c>
      <c r="F79" s="31" t="s">
        <v>564</v>
      </c>
      <c r="G79" s="31" t="s">
        <v>202</v>
      </c>
      <c r="H79" s="31" t="s">
        <v>154</v>
      </c>
      <c r="I79" s="31" t="s">
        <v>594</v>
      </c>
      <c r="J79" s="31" t="s">
        <v>627</v>
      </c>
      <c r="K79" s="31" t="s">
        <v>655</v>
      </c>
      <c r="L79" s="31" t="s">
        <v>660</v>
      </c>
      <c r="M79" s="375" t="s">
        <v>623</v>
      </c>
      <c r="N79" s="375"/>
      <c r="O79" s="31" t="s">
        <v>144</v>
      </c>
      <c r="P79" s="31" t="s">
        <v>144</v>
      </c>
      <c r="Q79" s="31" t="s">
        <v>661</v>
      </c>
      <c r="R79" s="372" t="s">
        <v>335</v>
      </c>
      <c r="S79" s="31" t="s">
        <v>752</v>
      </c>
      <c r="T79" s="31" t="s">
        <v>753</v>
      </c>
      <c r="U79" s="31">
        <v>65</v>
      </c>
      <c r="V79" s="31" t="s">
        <v>144</v>
      </c>
      <c r="W79" s="31" t="s">
        <v>144</v>
      </c>
      <c r="X79" s="31" t="s">
        <v>144</v>
      </c>
      <c r="Z79" s="33">
        <v>0.94</v>
      </c>
      <c r="AA79" s="31" t="s">
        <v>144</v>
      </c>
      <c r="AB79" s="31" t="s">
        <v>144</v>
      </c>
      <c r="AC79" s="31" t="s">
        <v>144</v>
      </c>
      <c r="AD79" s="31" t="s">
        <v>144</v>
      </c>
      <c r="AE79" s="31" t="s">
        <v>144</v>
      </c>
      <c r="AF79" s="31" t="s">
        <v>144</v>
      </c>
      <c r="AH79" s="31" t="s">
        <v>196</v>
      </c>
      <c r="AI79" s="31" t="s">
        <v>203</v>
      </c>
      <c r="AJ79" s="31" t="s">
        <v>754</v>
      </c>
      <c r="AK79" s="31" t="s">
        <v>144</v>
      </c>
      <c r="AL79" s="31" t="s">
        <v>346</v>
      </c>
      <c r="AM79" s="31" t="s">
        <v>144</v>
      </c>
      <c r="AN79" s="31" t="s">
        <v>164</v>
      </c>
      <c r="AO79" s="31" t="s">
        <v>758</v>
      </c>
      <c r="AP79" s="31" t="s">
        <v>144</v>
      </c>
      <c r="AQ79" s="31" t="s">
        <v>144</v>
      </c>
      <c r="AR79" s="31" t="s">
        <v>144</v>
      </c>
    </row>
    <row r="80" spans="5:44" s="31" customFormat="1" ht="15" customHeight="1" x14ac:dyDescent="0.3">
      <c r="E80" s="31" t="s">
        <v>136</v>
      </c>
      <c r="F80" s="31" t="s">
        <v>564</v>
      </c>
      <c r="G80" s="31" t="s">
        <v>202</v>
      </c>
      <c r="H80" s="31" t="s">
        <v>154</v>
      </c>
      <c r="I80" s="31" t="s">
        <v>594</v>
      </c>
      <c r="J80" s="31" t="s">
        <v>627</v>
      </c>
      <c r="K80" s="31" t="s">
        <v>656</v>
      </c>
      <c r="L80" s="31" t="s">
        <v>254</v>
      </c>
      <c r="M80" s="375" t="s">
        <v>651</v>
      </c>
      <c r="N80" s="375"/>
      <c r="O80" s="31" t="s">
        <v>144</v>
      </c>
      <c r="P80" s="31" t="s">
        <v>144</v>
      </c>
      <c r="Q80" s="31" t="s">
        <v>624</v>
      </c>
      <c r="R80" s="372" t="s">
        <v>335</v>
      </c>
      <c r="S80" s="31" t="s">
        <v>752</v>
      </c>
      <c r="T80" s="31" t="s">
        <v>753</v>
      </c>
      <c r="U80" s="31">
        <v>65</v>
      </c>
      <c r="V80" s="31" t="s">
        <v>144</v>
      </c>
      <c r="W80" s="31" t="s">
        <v>144</v>
      </c>
      <c r="X80" s="31" t="s">
        <v>144</v>
      </c>
      <c r="Z80" s="33">
        <v>0.94</v>
      </c>
      <c r="AA80" s="31" t="s">
        <v>144</v>
      </c>
      <c r="AB80" s="31" t="s">
        <v>144</v>
      </c>
      <c r="AC80" s="31" t="s">
        <v>144</v>
      </c>
      <c r="AD80" s="31" t="s">
        <v>144</v>
      </c>
      <c r="AE80" s="31" t="s">
        <v>144</v>
      </c>
      <c r="AF80" s="31" t="s">
        <v>144</v>
      </c>
      <c r="AH80" s="31" t="s">
        <v>196</v>
      </c>
      <c r="AI80" s="31" t="s">
        <v>203</v>
      </c>
      <c r="AJ80" s="31" t="s">
        <v>754</v>
      </c>
      <c r="AK80" s="31" t="s">
        <v>144</v>
      </c>
      <c r="AL80" s="31" t="s">
        <v>346</v>
      </c>
      <c r="AM80" s="31" t="s">
        <v>144</v>
      </c>
      <c r="AN80" s="31" t="s">
        <v>164</v>
      </c>
      <c r="AO80" s="31" t="s">
        <v>758</v>
      </c>
      <c r="AP80" s="31" t="s">
        <v>144</v>
      </c>
      <c r="AQ80" s="31" t="s">
        <v>144</v>
      </c>
      <c r="AR80" s="31" t="s">
        <v>144</v>
      </c>
    </row>
    <row r="81" spans="5:44" s="31" customFormat="1" ht="15" customHeight="1" x14ac:dyDescent="0.3">
      <c r="E81" s="31" t="s">
        <v>136</v>
      </c>
      <c r="F81" s="31" t="s">
        <v>564</v>
      </c>
      <c r="G81" s="31" t="s">
        <v>202</v>
      </c>
      <c r="H81" s="31" t="s">
        <v>154</v>
      </c>
      <c r="I81" s="31" t="s">
        <v>594</v>
      </c>
      <c r="J81" s="31" t="s">
        <v>627</v>
      </c>
      <c r="K81" s="31" t="s">
        <v>657</v>
      </c>
      <c r="L81" s="31" t="s">
        <v>660</v>
      </c>
      <c r="M81" s="375" t="s">
        <v>651</v>
      </c>
      <c r="N81" s="375"/>
      <c r="O81" s="31" t="s">
        <v>144</v>
      </c>
      <c r="P81" s="31" t="s">
        <v>144</v>
      </c>
      <c r="Q81" s="31" t="s">
        <v>661</v>
      </c>
      <c r="R81" s="372" t="s">
        <v>335</v>
      </c>
      <c r="S81" s="31" t="s">
        <v>752</v>
      </c>
      <c r="T81" s="31" t="s">
        <v>753</v>
      </c>
      <c r="U81" s="31">
        <v>65</v>
      </c>
      <c r="V81" s="31" t="s">
        <v>144</v>
      </c>
      <c r="W81" s="31" t="s">
        <v>144</v>
      </c>
      <c r="X81" s="31" t="s">
        <v>144</v>
      </c>
      <c r="Z81" s="33">
        <v>0.94</v>
      </c>
      <c r="AA81" s="31" t="s">
        <v>144</v>
      </c>
      <c r="AB81" s="31" t="s">
        <v>144</v>
      </c>
      <c r="AC81" s="31" t="s">
        <v>144</v>
      </c>
      <c r="AD81" s="31" t="s">
        <v>144</v>
      </c>
      <c r="AE81" s="31" t="s">
        <v>144</v>
      </c>
      <c r="AF81" s="31" t="s">
        <v>144</v>
      </c>
      <c r="AH81" s="31" t="s">
        <v>196</v>
      </c>
      <c r="AI81" s="31" t="s">
        <v>203</v>
      </c>
      <c r="AJ81" s="31" t="s">
        <v>754</v>
      </c>
      <c r="AK81" s="31" t="s">
        <v>144</v>
      </c>
      <c r="AL81" s="31" t="s">
        <v>346</v>
      </c>
      <c r="AM81" s="31" t="s">
        <v>144</v>
      </c>
      <c r="AN81" s="31" t="s">
        <v>164</v>
      </c>
      <c r="AO81" s="31" t="s">
        <v>758</v>
      </c>
      <c r="AP81" s="31" t="s">
        <v>144</v>
      </c>
      <c r="AQ81" s="31" t="s">
        <v>144</v>
      </c>
      <c r="AR81" s="31" t="s">
        <v>144</v>
      </c>
    </row>
    <row r="82" spans="5:44" s="31" customFormat="1" ht="15" customHeight="1" x14ac:dyDescent="0.3">
      <c r="E82" s="31" t="s">
        <v>136</v>
      </c>
      <c r="F82" s="31" t="s">
        <v>564</v>
      </c>
      <c r="G82" s="31" t="s">
        <v>202</v>
      </c>
      <c r="H82" s="31" t="s">
        <v>154</v>
      </c>
      <c r="I82" s="31" t="s">
        <v>594</v>
      </c>
      <c r="J82" s="31" t="s">
        <v>627</v>
      </c>
      <c r="K82" s="31" t="s">
        <v>658</v>
      </c>
      <c r="L82" s="31" t="s">
        <v>254</v>
      </c>
      <c r="M82" s="375" t="s">
        <v>651</v>
      </c>
      <c r="N82" s="375"/>
      <c r="O82" s="31" t="s">
        <v>144</v>
      </c>
      <c r="P82" s="31" t="s">
        <v>144</v>
      </c>
      <c r="Q82" s="31" t="s">
        <v>624</v>
      </c>
      <c r="R82" s="372" t="s">
        <v>335</v>
      </c>
      <c r="S82" s="31" t="s">
        <v>752</v>
      </c>
      <c r="T82" s="31" t="s">
        <v>753</v>
      </c>
      <c r="U82" s="31">
        <v>65</v>
      </c>
      <c r="V82" s="31" t="s">
        <v>144</v>
      </c>
      <c r="W82" s="31" t="s">
        <v>144</v>
      </c>
      <c r="X82" s="31" t="s">
        <v>144</v>
      </c>
      <c r="Z82" s="33">
        <v>0.94</v>
      </c>
      <c r="AA82" s="31" t="s">
        <v>144</v>
      </c>
      <c r="AB82" s="31" t="s">
        <v>144</v>
      </c>
      <c r="AC82" s="31" t="s">
        <v>144</v>
      </c>
      <c r="AD82" s="31" t="s">
        <v>144</v>
      </c>
      <c r="AE82" s="31" t="s">
        <v>144</v>
      </c>
      <c r="AF82" s="31" t="s">
        <v>144</v>
      </c>
      <c r="AH82" s="31" t="s">
        <v>196</v>
      </c>
      <c r="AI82" s="31" t="s">
        <v>203</v>
      </c>
      <c r="AJ82" s="31" t="s">
        <v>754</v>
      </c>
      <c r="AK82" s="31" t="s">
        <v>144</v>
      </c>
      <c r="AL82" s="31" t="s">
        <v>346</v>
      </c>
      <c r="AM82" s="31" t="s">
        <v>144</v>
      </c>
      <c r="AN82" s="31" t="s">
        <v>164</v>
      </c>
      <c r="AO82" s="31" t="s">
        <v>758</v>
      </c>
      <c r="AP82" s="31" t="s">
        <v>144</v>
      </c>
      <c r="AQ82" s="31" t="s">
        <v>144</v>
      </c>
      <c r="AR82" s="31" t="s">
        <v>144</v>
      </c>
    </row>
    <row r="83" spans="5:44" s="31" customFormat="1" ht="15" customHeight="1" x14ac:dyDescent="0.3">
      <c r="E83" s="31" t="s">
        <v>136</v>
      </c>
      <c r="F83" s="31" t="s">
        <v>564</v>
      </c>
      <c r="G83" s="31" t="s">
        <v>202</v>
      </c>
      <c r="H83" s="31" t="s">
        <v>154</v>
      </c>
      <c r="I83" s="31" t="s">
        <v>594</v>
      </c>
      <c r="J83" s="31" t="s">
        <v>627</v>
      </c>
      <c r="K83" s="31" t="s">
        <v>659</v>
      </c>
      <c r="L83" s="31" t="s">
        <v>660</v>
      </c>
      <c r="M83" s="375" t="s">
        <v>651</v>
      </c>
      <c r="N83" s="375"/>
      <c r="O83" s="31" t="s">
        <v>144</v>
      </c>
      <c r="P83" s="31" t="s">
        <v>144</v>
      </c>
      <c r="Q83" s="31" t="s">
        <v>661</v>
      </c>
      <c r="R83" s="372" t="s">
        <v>335</v>
      </c>
      <c r="S83" s="31" t="s">
        <v>752</v>
      </c>
      <c r="T83" s="31" t="s">
        <v>753</v>
      </c>
      <c r="U83" s="31">
        <v>65</v>
      </c>
      <c r="V83" s="31" t="s">
        <v>144</v>
      </c>
      <c r="W83" s="31" t="s">
        <v>144</v>
      </c>
      <c r="X83" s="31" t="s">
        <v>144</v>
      </c>
      <c r="Z83" s="33">
        <v>0.94</v>
      </c>
      <c r="AA83" s="31" t="s">
        <v>144</v>
      </c>
      <c r="AB83" s="31" t="s">
        <v>144</v>
      </c>
      <c r="AC83" s="31" t="s">
        <v>144</v>
      </c>
      <c r="AD83" s="31" t="s">
        <v>144</v>
      </c>
      <c r="AE83" s="31" t="s">
        <v>144</v>
      </c>
      <c r="AF83" s="31" t="s">
        <v>144</v>
      </c>
      <c r="AH83" s="31" t="s">
        <v>196</v>
      </c>
      <c r="AI83" s="31" t="s">
        <v>203</v>
      </c>
      <c r="AJ83" s="31" t="s">
        <v>754</v>
      </c>
      <c r="AK83" s="31" t="s">
        <v>144</v>
      </c>
      <c r="AL83" s="31" t="s">
        <v>346</v>
      </c>
      <c r="AM83" s="31" t="s">
        <v>144</v>
      </c>
      <c r="AN83" s="31" t="s">
        <v>164</v>
      </c>
      <c r="AO83" s="31" t="s">
        <v>758</v>
      </c>
      <c r="AP83" s="31" t="s">
        <v>144</v>
      </c>
      <c r="AQ83" s="31" t="s">
        <v>144</v>
      </c>
      <c r="AR83" s="31" t="s">
        <v>144</v>
      </c>
    </row>
    <row r="84" spans="5:44" s="31" customFormat="1" ht="15" customHeight="1" x14ac:dyDescent="0.3">
      <c r="M84" s="375"/>
      <c r="N84" s="375"/>
      <c r="R84" s="372"/>
      <c r="AG84" s="33"/>
    </row>
    <row r="85" spans="5:44" s="31" customFormat="1" ht="15" customHeight="1" x14ac:dyDescent="0.3">
      <c r="E85" s="31" t="s">
        <v>137</v>
      </c>
      <c r="F85" s="31" t="s">
        <v>140</v>
      </c>
      <c r="G85" s="31" t="s">
        <v>404</v>
      </c>
      <c r="H85" s="31" t="s">
        <v>349</v>
      </c>
      <c r="I85" s="31" t="s">
        <v>594</v>
      </c>
      <c r="J85" s="31" t="s">
        <v>663</v>
      </c>
      <c r="K85" s="31" t="s">
        <v>666</v>
      </c>
      <c r="L85" s="31" t="s">
        <v>254</v>
      </c>
      <c r="M85" s="375" t="s">
        <v>690</v>
      </c>
      <c r="N85" s="375"/>
      <c r="O85" s="31" t="s">
        <v>144</v>
      </c>
      <c r="P85" s="31" t="s">
        <v>144</v>
      </c>
      <c r="Q85" s="31" t="s">
        <v>695</v>
      </c>
      <c r="R85" s="31" t="s">
        <v>570</v>
      </c>
      <c r="S85" s="31" t="s">
        <v>753</v>
      </c>
      <c r="T85" s="31" t="s">
        <v>751</v>
      </c>
      <c r="U85" s="31" t="s">
        <v>144</v>
      </c>
      <c r="V85" s="31" t="s">
        <v>144</v>
      </c>
      <c r="W85" s="31" t="s">
        <v>144</v>
      </c>
      <c r="X85" s="31" t="s">
        <v>144</v>
      </c>
      <c r="Z85" s="31" t="s">
        <v>144</v>
      </c>
      <c r="AA85" s="381">
        <v>16.2</v>
      </c>
      <c r="AB85" s="381">
        <v>15.2</v>
      </c>
      <c r="AC85" s="381">
        <v>0.7</v>
      </c>
      <c r="AD85" s="381">
        <v>0.3</v>
      </c>
      <c r="AE85" s="31">
        <v>1.3</v>
      </c>
      <c r="AF85" s="31">
        <v>28</v>
      </c>
      <c r="AG85" s="31" t="s">
        <v>197</v>
      </c>
      <c r="AH85" s="31" t="s">
        <v>144</v>
      </c>
      <c r="AI85" s="31" t="s">
        <v>144</v>
      </c>
      <c r="AJ85" s="31" t="s">
        <v>144</v>
      </c>
      <c r="AK85" s="31" t="s">
        <v>144</v>
      </c>
      <c r="AL85" s="31" t="s">
        <v>350</v>
      </c>
      <c r="AM85" s="31" t="s">
        <v>144</v>
      </c>
      <c r="AN85" s="31" t="s">
        <v>697</v>
      </c>
      <c r="AO85" s="31" t="s">
        <v>696</v>
      </c>
      <c r="AP85" s="31" t="s">
        <v>144</v>
      </c>
      <c r="AQ85" s="31" t="s">
        <v>144</v>
      </c>
      <c r="AR85" s="31" t="s">
        <v>144</v>
      </c>
    </row>
    <row r="86" spans="5:44" s="31" customFormat="1" ht="15" customHeight="1" x14ac:dyDescent="0.3">
      <c r="E86" s="31" t="s">
        <v>137</v>
      </c>
      <c r="F86" s="31" t="s">
        <v>140</v>
      </c>
      <c r="G86" s="31" t="s">
        <v>404</v>
      </c>
      <c r="H86" s="31" t="s">
        <v>349</v>
      </c>
      <c r="I86" s="31" t="s">
        <v>594</v>
      </c>
      <c r="J86" s="31" t="s">
        <v>668</v>
      </c>
      <c r="K86" s="31" t="s">
        <v>666</v>
      </c>
      <c r="L86" s="31" t="s">
        <v>254</v>
      </c>
      <c r="M86" s="375" t="s">
        <v>691</v>
      </c>
      <c r="N86" s="375"/>
      <c r="O86" s="31" t="s">
        <v>144</v>
      </c>
      <c r="P86" s="31" t="s">
        <v>144</v>
      </c>
      <c r="Q86" s="31" t="s">
        <v>695</v>
      </c>
      <c r="R86" s="31" t="s">
        <v>570</v>
      </c>
      <c r="S86" s="31" t="s">
        <v>753</v>
      </c>
      <c r="T86" s="31" t="s">
        <v>751</v>
      </c>
      <c r="U86" s="31" t="s">
        <v>144</v>
      </c>
      <c r="V86" s="31" t="s">
        <v>144</v>
      </c>
      <c r="W86" s="31" t="s">
        <v>144</v>
      </c>
      <c r="X86" s="31" t="s">
        <v>144</v>
      </c>
      <c r="Z86" s="31" t="s">
        <v>144</v>
      </c>
      <c r="AA86" s="381">
        <f t="shared" ref="AA86:AA89" si="2">+AB86+AC86+AD86</f>
        <v>16.099999999999998</v>
      </c>
      <c r="AB86" s="381">
        <v>15.2</v>
      </c>
      <c r="AC86" s="381">
        <v>0.5</v>
      </c>
      <c r="AD86" s="381">
        <v>0.4</v>
      </c>
      <c r="AE86" s="31">
        <v>1.3</v>
      </c>
      <c r="AF86" s="31">
        <v>28</v>
      </c>
      <c r="AG86" s="31" t="s">
        <v>197</v>
      </c>
      <c r="AH86" s="31" t="s">
        <v>144</v>
      </c>
      <c r="AI86" s="31" t="s">
        <v>144</v>
      </c>
      <c r="AJ86" s="31" t="s">
        <v>144</v>
      </c>
      <c r="AK86" s="31" t="s">
        <v>144</v>
      </c>
      <c r="AL86" s="31" t="s">
        <v>350</v>
      </c>
      <c r="AM86" s="31" t="s">
        <v>144</v>
      </c>
      <c r="AN86" s="31" t="s">
        <v>697</v>
      </c>
      <c r="AO86" s="31" t="s">
        <v>696</v>
      </c>
      <c r="AP86" s="31" t="s">
        <v>144</v>
      </c>
      <c r="AQ86" s="31" t="s">
        <v>144</v>
      </c>
      <c r="AR86" s="31" t="s">
        <v>144</v>
      </c>
    </row>
    <row r="87" spans="5:44" s="31" customFormat="1" ht="15" customHeight="1" x14ac:dyDescent="0.3">
      <c r="E87" s="31" t="s">
        <v>137</v>
      </c>
      <c r="F87" s="31" t="s">
        <v>140</v>
      </c>
      <c r="G87" s="31" t="s">
        <v>404</v>
      </c>
      <c r="H87" s="31" t="s">
        <v>349</v>
      </c>
      <c r="I87" s="31" t="s">
        <v>594</v>
      </c>
      <c r="J87" s="31" t="s">
        <v>673</v>
      </c>
      <c r="K87" s="31" t="s">
        <v>666</v>
      </c>
      <c r="L87" s="31" t="s">
        <v>254</v>
      </c>
      <c r="M87" s="375" t="s">
        <v>692</v>
      </c>
      <c r="N87" s="375"/>
      <c r="O87" s="31" t="s">
        <v>144</v>
      </c>
      <c r="P87" s="31" t="s">
        <v>144</v>
      </c>
      <c r="Q87" s="31" t="s">
        <v>695</v>
      </c>
      <c r="R87" s="31" t="s">
        <v>570</v>
      </c>
      <c r="S87" s="31" t="s">
        <v>753</v>
      </c>
      <c r="T87" s="31" t="s">
        <v>751</v>
      </c>
      <c r="U87" s="31" t="s">
        <v>144</v>
      </c>
      <c r="V87" s="31" t="s">
        <v>144</v>
      </c>
      <c r="W87" s="31" t="s">
        <v>144</v>
      </c>
      <c r="X87" s="31" t="s">
        <v>144</v>
      </c>
      <c r="Z87" s="31" t="s">
        <v>144</v>
      </c>
      <c r="AA87" s="381">
        <f t="shared" si="2"/>
        <v>16.099999999999998</v>
      </c>
      <c r="AB87" s="381">
        <v>15.2</v>
      </c>
      <c r="AC87" s="381">
        <v>0.5</v>
      </c>
      <c r="AD87" s="381">
        <v>0.4</v>
      </c>
      <c r="AE87" s="31">
        <v>1.3</v>
      </c>
      <c r="AF87" s="31">
        <v>28</v>
      </c>
      <c r="AG87" s="31" t="s">
        <v>197</v>
      </c>
      <c r="AH87" s="31" t="s">
        <v>144</v>
      </c>
      <c r="AI87" s="31" t="s">
        <v>144</v>
      </c>
      <c r="AJ87" s="31" t="s">
        <v>144</v>
      </c>
      <c r="AK87" s="31" t="s">
        <v>144</v>
      </c>
      <c r="AL87" s="31" t="s">
        <v>350</v>
      </c>
      <c r="AM87" s="31" t="s">
        <v>144</v>
      </c>
      <c r="AN87" s="31" t="s">
        <v>697</v>
      </c>
      <c r="AO87" s="31" t="s">
        <v>696</v>
      </c>
      <c r="AP87" s="31" t="s">
        <v>144</v>
      </c>
      <c r="AQ87" s="31" t="s">
        <v>144</v>
      </c>
      <c r="AR87" s="31" t="s">
        <v>144</v>
      </c>
    </row>
    <row r="88" spans="5:44" s="31" customFormat="1" ht="15" customHeight="1" x14ac:dyDescent="0.3">
      <c r="E88" s="31" t="s">
        <v>137</v>
      </c>
      <c r="F88" s="31" t="s">
        <v>140</v>
      </c>
      <c r="G88" s="31" t="s">
        <v>404</v>
      </c>
      <c r="H88" s="31" t="s">
        <v>349</v>
      </c>
      <c r="I88" s="31" t="s">
        <v>594</v>
      </c>
      <c r="J88" s="31" t="s">
        <v>675</v>
      </c>
      <c r="K88" s="31" t="s">
        <v>666</v>
      </c>
      <c r="L88" s="31" t="s">
        <v>254</v>
      </c>
      <c r="M88" s="375" t="s">
        <v>693</v>
      </c>
      <c r="N88" s="375"/>
      <c r="O88" s="31" t="s">
        <v>144</v>
      </c>
      <c r="P88" s="31" t="s">
        <v>144</v>
      </c>
      <c r="Q88" s="31" t="s">
        <v>695</v>
      </c>
      <c r="R88" s="31" t="s">
        <v>570</v>
      </c>
      <c r="S88" s="31" t="s">
        <v>753</v>
      </c>
      <c r="T88" s="31" t="s">
        <v>751</v>
      </c>
      <c r="U88" s="31" t="s">
        <v>144</v>
      </c>
      <c r="V88" s="31" t="s">
        <v>144</v>
      </c>
      <c r="W88" s="31" t="s">
        <v>144</v>
      </c>
      <c r="X88" s="31" t="s">
        <v>144</v>
      </c>
      <c r="Z88" s="31" t="s">
        <v>144</v>
      </c>
      <c r="AA88" s="381">
        <f t="shared" si="2"/>
        <v>16.099999999999998</v>
      </c>
      <c r="AB88" s="381">
        <v>15.2</v>
      </c>
      <c r="AC88" s="381">
        <v>0.5</v>
      </c>
      <c r="AD88" s="381">
        <v>0.4</v>
      </c>
      <c r="AE88" s="31">
        <v>1.3</v>
      </c>
      <c r="AF88" s="31">
        <v>28</v>
      </c>
      <c r="AG88" s="31" t="s">
        <v>197</v>
      </c>
      <c r="AH88" s="31" t="s">
        <v>144</v>
      </c>
      <c r="AI88" s="31" t="s">
        <v>144</v>
      </c>
      <c r="AJ88" s="31" t="s">
        <v>144</v>
      </c>
      <c r="AK88" s="31" t="s">
        <v>144</v>
      </c>
      <c r="AL88" s="31" t="s">
        <v>350</v>
      </c>
      <c r="AM88" s="31" t="s">
        <v>144</v>
      </c>
      <c r="AN88" s="31" t="s">
        <v>697</v>
      </c>
      <c r="AO88" s="31" t="s">
        <v>696</v>
      </c>
      <c r="AP88" s="31" t="s">
        <v>144</v>
      </c>
      <c r="AQ88" s="31" t="s">
        <v>144</v>
      </c>
      <c r="AR88" s="31" t="s">
        <v>144</v>
      </c>
    </row>
    <row r="89" spans="5:44" s="31" customFormat="1" ht="15" customHeight="1" x14ac:dyDescent="0.3">
      <c r="E89" s="31" t="s">
        <v>137</v>
      </c>
      <c r="F89" s="31" t="s">
        <v>140</v>
      </c>
      <c r="G89" s="31" t="s">
        <v>404</v>
      </c>
      <c r="H89" s="31" t="s">
        <v>349</v>
      </c>
      <c r="I89" s="31" t="s">
        <v>594</v>
      </c>
      <c r="J89" s="31" t="s">
        <v>677</v>
      </c>
      <c r="K89" s="31" t="s">
        <v>666</v>
      </c>
      <c r="L89" s="31" t="s">
        <v>254</v>
      </c>
      <c r="M89" s="375" t="s">
        <v>694</v>
      </c>
      <c r="N89" s="375"/>
      <c r="O89" s="31" t="s">
        <v>144</v>
      </c>
      <c r="P89" s="31" t="s">
        <v>144</v>
      </c>
      <c r="Q89" s="31" t="s">
        <v>695</v>
      </c>
      <c r="R89" s="31" t="s">
        <v>570</v>
      </c>
      <c r="S89" s="31" t="s">
        <v>753</v>
      </c>
      <c r="T89" s="31" t="s">
        <v>751</v>
      </c>
      <c r="U89" s="31" t="s">
        <v>144</v>
      </c>
      <c r="V89" s="31" t="s">
        <v>144</v>
      </c>
      <c r="W89" s="31" t="s">
        <v>144</v>
      </c>
      <c r="X89" s="31" t="s">
        <v>144</v>
      </c>
      <c r="Z89" s="31" t="s">
        <v>144</v>
      </c>
      <c r="AA89" s="381">
        <f t="shared" si="2"/>
        <v>16.099999999999998</v>
      </c>
      <c r="AB89" s="381">
        <v>15.2</v>
      </c>
      <c r="AC89" s="381">
        <v>0.5</v>
      </c>
      <c r="AD89" s="381">
        <v>0.4</v>
      </c>
      <c r="AE89" s="31">
        <v>1.3</v>
      </c>
      <c r="AF89" s="31">
        <v>28</v>
      </c>
      <c r="AG89" s="31" t="s">
        <v>197</v>
      </c>
      <c r="AH89" s="31" t="s">
        <v>144</v>
      </c>
      <c r="AI89" s="31" t="s">
        <v>144</v>
      </c>
      <c r="AJ89" s="31" t="s">
        <v>144</v>
      </c>
      <c r="AK89" s="31" t="s">
        <v>144</v>
      </c>
      <c r="AL89" s="31" t="s">
        <v>350</v>
      </c>
      <c r="AM89" s="31" t="s">
        <v>144</v>
      </c>
      <c r="AN89" s="31" t="s">
        <v>697</v>
      </c>
      <c r="AO89" s="31" t="s">
        <v>696</v>
      </c>
      <c r="AP89" s="31" t="s">
        <v>144</v>
      </c>
      <c r="AQ89" s="31" t="s">
        <v>144</v>
      </c>
      <c r="AR89" s="31" t="s">
        <v>144</v>
      </c>
    </row>
    <row r="90" spans="5:44" s="31" customFormat="1" ht="15" customHeight="1" x14ac:dyDescent="0.3">
      <c r="M90" s="375"/>
      <c r="N90" s="375"/>
    </row>
    <row r="91" spans="5:44" s="31" customFormat="1" ht="15" customHeight="1" x14ac:dyDescent="0.3">
      <c r="E91" s="31" t="s">
        <v>565</v>
      </c>
      <c r="F91" s="31" t="s">
        <v>140</v>
      </c>
      <c r="G91" s="31" t="s">
        <v>400</v>
      </c>
      <c r="H91" s="31" t="s">
        <v>144</v>
      </c>
      <c r="I91" s="31" t="s">
        <v>594</v>
      </c>
      <c r="J91" s="31" t="s">
        <v>663</v>
      </c>
      <c r="K91" s="31" t="s">
        <v>666</v>
      </c>
      <c r="L91" s="31" t="s">
        <v>683</v>
      </c>
      <c r="M91" s="31" t="s">
        <v>611</v>
      </c>
      <c r="N91" s="375" t="s">
        <v>144</v>
      </c>
      <c r="O91" s="31">
        <v>16</v>
      </c>
      <c r="P91" s="31" t="s">
        <v>144</v>
      </c>
      <c r="Q91" s="31" t="s">
        <v>274</v>
      </c>
      <c r="R91" s="31" t="s">
        <v>709</v>
      </c>
      <c r="S91" s="31" t="s">
        <v>751</v>
      </c>
      <c r="T91" s="31" t="s">
        <v>144</v>
      </c>
      <c r="U91" s="31" t="s">
        <v>144</v>
      </c>
      <c r="V91" s="31" t="s">
        <v>144</v>
      </c>
      <c r="W91" s="31" t="s">
        <v>569</v>
      </c>
      <c r="X91" s="31" t="s">
        <v>200</v>
      </c>
      <c r="Y91" s="31" t="s">
        <v>201</v>
      </c>
      <c r="Z91" s="31" t="s">
        <v>144</v>
      </c>
      <c r="AA91" s="31" t="s">
        <v>144</v>
      </c>
      <c r="AB91" s="31" t="s">
        <v>144</v>
      </c>
      <c r="AC91" s="31" t="s">
        <v>144</v>
      </c>
      <c r="AD91" s="31" t="s">
        <v>144</v>
      </c>
      <c r="AE91" s="31" t="s">
        <v>144</v>
      </c>
      <c r="AF91" s="31" t="s">
        <v>144</v>
      </c>
      <c r="AH91" s="31" t="s">
        <v>684</v>
      </c>
      <c r="AI91" s="31" t="s">
        <v>698</v>
      </c>
      <c r="AJ91" s="31" t="s">
        <v>144</v>
      </c>
      <c r="AK91" s="31" t="s">
        <v>351</v>
      </c>
      <c r="AL91" s="31" t="s">
        <v>201</v>
      </c>
      <c r="AM91" s="31" t="s">
        <v>144</v>
      </c>
      <c r="AN91" s="31" t="s">
        <v>164</v>
      </c>
      <c r="AO91" s="31" t="s">
        <v>144</v>
      </c>
      <c r="AP91" s="31" t="s">
        <v>144</v>
      </c>
      <c r="AQ91" s="31" t="s">
        <v>144</v>
      </c>
      <c r="AR91" s="31" t="s">
        <v>144</v>
      </c>
    </row>
    <row r="92" spans="5:44" s="31" customFormat="1" ht="15" customHeight="1" x14ac:dyDescent="0.3">
      <c r="E92" s="31" t="s">
        <v>565</v>
      </c>
      <c r="F92" s="31" t="s">
        <v>140</v>
      </c>
      <c r="G92" s="31" t="s">
        <v>400</v>
      </c>
      <c r="H92" s="31" t="s">
        <v>144</v>
      </c>
      <c r="I92" s="31" t="s">
        <v>594</v>
      </c>
      <c r="J92" s="31" t="s">
        <v>668</v>
      </c>
      <c r="K92" s="31" t="s">
        <v>666</v>
      </c>
      <c r="L92" s="31" t="s">
        <v>683</v>
      </c>
      <c r="M92" s="31" t="s">
        <v>611</v>
      </c>
      <c r="N92" s="375" t="s">
        <v>144</v>
      </c>
      <c r="O92" s="31">
        <v>16</v>
      </c>
      <c r="P92" s="31" t="s">
        <v>144</v>
      </c>
      <c r="Q92" s="31" t="s">
        <v>274</v>
      </c>
      <c r="R92" s="31" t="s">
        <v>709</v>
      </c>
      <c r="S92" s="31" t="s">
        <v>751</v>
      </c>
      <c r="T92" s="31" t="s">
        <v>144</v>
      </c>
      <c r="U92" s="31" t="s">
        <v>144</v>
      </c>
      <c r="V92" s="31" t="s">
        <v>144</v>
      </c>
      <c r="W92" s="31" t="s">
        <v>569</v>
      </c>
      <c r="X92" s="31" t="s">
        <v>200</v>
      </c>
      <c r="Y92" s="31" t="s">
        <v>201</v>
      </c>
      <c r="Z92" s="31" t="s">
        <v>144</v>
      </c>
      <c r="AA92" s="31" t="s">
        <v>144</v>
      </c>
      <c r="AB92" s="31" t="s">
        <v>144</v>
      </c>
      <c r="AC92" s="31" t="s">
        <v>144</v>
      </c>
      <c r="AD92" s="31" t="s">
        <v>144</v>
      </c>
      <c r="AE92" s="31" t="s">
        <v>144</v>
      </c>
      <c r="AF92" s="31" t="s">
        <v>144</v>
      </c>
      <c r="AH92" s="31" t="s">
        <v>684</v>
      </c>
      <c r="AI92" s="31" t="s">
        <v>698</v>
      </c>
      <c r="AJ92" s="31" t="s">
        <v>144</v>
      </c>
      <c r="AK92" s="31" t="s">
        <v>351</v>
      </c>
      <c r="AL92" s="31" t="s">
        <v>201</v>
      </c>
      <c r="AM92" s="31" t="s">
        <v>144</v>
      </c>
      <c r="AN92" s="31" t="s">
        <v>164</v>
      </c>
      <c r="AO92" s="31" t="s">
        <v>144</v>
      </c>
      <c r="AP92" s="31" t="s">
        <v>144</v>
      </c>
      <c r="AQ92" s="31" t="s">
        <v>144</v>
      </c>
      <c r="AR92" s="31" t="s">
        <v>144</v>
      </c>
    </row>
    <row r="93" spans="5:44" s="31" customFormat="1" ht="15" customHeight="1" x14ac:dyDescent="0.3">
      <c r="E93" s="31" t="s">
        <v>565</v>
      </c>
      <c r="F93" s="31" t="s">
        <v>140</v>
      </c>
      <c r="G93" s="31" t="s">
        <v>400</v>
      </c>
      <c r="H93" s="31" t="s">
        <v>144</v>
      </c>
      <c r="I93" s="31" t="s">
        <v>594</v>
      </c>
      <c r="J93" s="31" t="s">
        <v>673</v>
      </c>
      <c r="K93" s="31" t="s">
        <v>666</v>
      </c>
      <c r="L93" s="31" t="s">
        <v>683</v>
      </c>
      <c r="M93" s="31" t="s">
        <v>611</v>
      </c>
      <c r="N93" s="375" t="s">
        <v>144</v>
      </c>
      <c r="O93" s="31">
        <v>16</v>
      </c>
      <c r="P93" s="31" t="s">
        <v>144</v>
      </c>
      <c r="Q93" s="31" t="s">
        <v>274</v>
      </c>
      <c r="R93" s="31" t="s">
        <v>709</v>
      </c>
      <c r="S93" s="31" t="s">
        <v>751</v>
      </c>
      <c r="T93" s="31" t="s">
        <v>144</v>
      </c>
      <c r="U93" s="31" t="s">
        <v>144</v>
      </c>
      <c r="V93" s="31" t="s">
        <v>144</v>
      </c>
      <c r="W93" s="31" t="s">
        <v>569</v>
      </c>
      <c r="X93" s="31" t="s">
        <v>200</v>
      </c>
      <c r="Y93" s="31" t="s">
        <v>201</v>
      </c>
      <c r="Z93" s="31" t="s">
        <v>144</v>
      </c>
      <c r="AA93" s="31" t="s">
        <v>144</v>
      </c>
      <c r="AB93" s="31" t="s">
        <v>144</v>
      </c>
      <c r="AC93" s="31" t="s">
        <v>144</v>
      </c>
      <c r="AD93" s="31" t="s">
        <v>144</v>
      </c>
      <c r="AE93" s="31" t="s">
        <v>144</v>
      </c>
      <c r="AF93" s="31" t="s">
        <v>144</v>
      </c>
      <c r="AH93" s="31" t="s">
        <v>684</v>
      </c>
      <c r="AI93" s="31" t="s">
        <v>698</v>
      </c>
      <c r="AJ93" s="31" t="s">
        <v>144</v>
      </c>
      <c r="AK93" s="31" t="s">
        <v>351</v>
      </c>
      <c r="AL93" s="31" t="s">
        <v>201</v>
      </c>
      <c r="AM93" s="31" t="s">
        <v>144</v>
      </c>
      <c r="AN93" s="31" t="s">
        <v>164</v>
      </c>
      <c r="AO93" s="31" t="s">
        <v>144</v>
      </c>
      <c r="AP93" s="31" t="s">
        <v>144</v>
      </c>
      <c r="AQ93" s="31" t="s">
        <v>144</v>
      </c>
      <c r="AR93" s="31" t="s">
        <v>144</v>
      </c>
    </row>
    <row r="94" spans="5:44" s="31" customFormat="1" ht="15" customHeight="1" x14ac:dyDescent="0.3">
      <c r="E94" s="31" t="s">
        <v>565</v>
      </c>
      <c r="F94" s="31" t="s">
        <v>140</v>
      </c>
      <c r="G94" s="31" t="s">
        <v>400</v>
      </c>
      <c r="H94" s="31" t="s">
        <v>144</v>
      </c>
      <c r="I94" s="31" t="s">
        <v>594</v>
      </c>
      <c r="J94" s="31" t="s">
        <v>675</v>
      </c>
      <c r="K94" s="31" t="s">
        <v>666</v>
      </c>
      <c r="L94" s="31" t="s">
        <v>683</v>
      </c>
      <c r="M94" s="31" t="s">
        <v>611</v>
      </c>
      <c r="N94" s="375" t="s">
        <v>144</v>
      </c>
      <c r="O94" s="31">
        <v>16</v>
      </c>
      <c r="P94" s="31" t="s">
        <v>144</v>
      </c>
      <c r="Q94" s="31" t="s">
        <v>274</v>
      </c>
      <c r="R94" s="31" t="s">
        <v>709</v>
      </c>
      <c r="S94" s="31" t="s">
        <v>751</v>
      </c>
      <c r="T94" s="31" t="s">
        <v>144</v>
      </c>
      <c r="U94" s="31" t="s">
        <v>144</v>
      </c>
      <c r="V94" s="31" t="s">
        <v>144</v>
      </c>
      <c r="W94" s="31" t="s">
        <v>569</v>
      </c>
      <c r="X94" s="31" t="s">
        <v>200</v>
      </c>
      <c r="Y94" s="31" t="s">
        <v>201</v>
      </c>
      <c r="Z94" s="31" t="s">
        <v>144</v>
      </c>
      <c r="AA94" s="31" t="s">
        <v>144</v>
      </c>
      <c r="AB94" s="31" t="s">
        <v>144</v>
      </c>
      <c r="AC94" s="31" t="s">
        <v>144</v>
      </c>
      <c r="AD94" s="31" t="s">
        <v>144</v>
      </c>
      <c r="AE94" s="31" t="s">
        <v>144</v>
      </c>
      <c r="AF94" s="31" t="s">
        <v>144</v>
      </c>
      <c r="AH94" s="31" t="s">
        <v>684</v>
      </c>
      <c r="AI94" s="31" t="s">
        <v>698</v>
      </c>
      <c r="AJ94" s="31" t="s">
        <v>144</v>
      </c>
      <c r="AK94" s="31" t="s">
        <v>351</v>
      </c>
      <c r="AL94" s="31" t="s">
        <v>201</v>
      </c>
      <c r="AM94" s="31" t="s">
        <v>144</v>
      </c>
      <c r="AN94" s="31" t="s">
        <v>164</v>
      </c>
      <c r="AO94" s="31" t="s">
        <v>144</v>
      </c>
      <c r="AP94" s="31" t="s">
        <v>144</v>
      </c>
      <c r="AQ94" s="31" t="s">
        <v>144</v>
      </c>
      <c r="AR94" s="31" t="s">
        <v>144</v>
      </c>
    </row>
    <row r="95" spans="5:44" s="31" customFormat="1" ht="15" customHeight="1" x14ac:dyDescent="0.3">
      <c r="E95" s="31" t="s">
        <v>565</v>
      </c>
      <c r="F95" s="31" t="s">
        <v>140</v>
      </c>
      <c r="G95" s="31" t="s">
        <v>400</v>
      </c>
      <c r="H95" s="31" t="s">
        <v>144</v>
      </c>
      <c r="I95" s="31" t="s">
        <v>594</v>
      </c>
      <c r="J95" s="31" t="s">
        <v>677</v>
      </c>
      <c r="K95" s="31" t="s">
        <v>666</v>
      </c>
      <c r="L95" s="31" t="s">
        <v>683</v>
      </c>
      <c r="M95" s="31" t="s">
        <v>611</v>
      </c>
      <c r="N95" s="375" t="s">
        <v>144</v>
      </c>
      <c r="O95" s="31">
        <v>16</v>
      </c>
      <c r="P95" s="31" t="s">
        <v>144</v>
      </c>
      <c r="Q95" s="31" t="s">
        <v>274</v>
      </c>
      <c r="R95" s="31" t="s">
        <v>709</v>
      </c>
      <c r="S95" s="31" t="s">
        <v>751</v>
      </c>
      <c r="T95" s="31" t="s">
        <v>144</v>
      </c>
      <c r="U95" s="31" t="s">
        <v>144</v>
      </c>
      <c r="V95" s="31" t="s">
        <v>144</v>
      </c>
      <c r="W95" s="31" t="s">
        <v>569</v>
      </c>
      <c r="X95" s="31" t="s">
        <v>200</v>
      </c>
      <c r="Y95" s="31" t="s">
        <v>201</v>
      </c>
      <c r="Z95" s="31" t="s">
        <v>144</v>
      </c>
      <c r="AA95" s="31" t="s">
        <v>144</v>
      </c>
      <c r="AB95" s="31" t="s">
        <v>144</v>
      </c>
      <c r="AC95" s="31" t="s">
        <v>144</v>
      </c>
      <c r="AD95" s="31" t="s">
        <v>144</v>
      </c>
      <c r="AE95" s="31" t="s">
        <v>144</v>
      </c>
      <c r="AF95" s="31" t="s">
        <v>144</v>
      </c>
      <c r="AH95" s="31" t="s">
        <v>684</v>
      </c>
      <c r="AI95" s="31" t="s">
        <v>698</v>
      </c>
      <c r="AJ95" s="31" t="s">
        <v>144</v>
      </c>
      <c r="AK95" s="31" t="s">
        <v>351</v>
      </c>
      <c r="AL95" s="31" t="s">
        <v>201</v>
      </c>
      <c r="AM95" s="31" t="s">
        <v>144</v>
      </c>
      <c r="AN95" s="31" t="s">
        <v>164</v>
      </c>
      <c r="AO95" s="31" t="s">
        <v>144</v>
      </c>
      <c r="AP95" s="31" t="s">
        <v>144</v>
      </c>
      <c r="AQ95" s="31" t="s">
        <v>144</v>
      </c>
      <c r="AR95" s="31" t="s">
        <v>144</v>
      </c>
    </row>
    <row r="96" spans="5:44" s="31" customFormat="1" ht="15" customHeight="1" x14ac:dyDescent="0.3">
      <c r="M96" s="375"/>
      <c r="N96" s="375"/>
    </row>
    <row r="97" spans="5:44" s="31" customFormat="1" ht="15" customHeight="1" x14ac:dyDescent="0.3">
      <c r="E97" s="31" t="s">
        <v>138</v>
      </c>
      <c r="F97" s="31" t="s">
        <v>140</v>
      </c>
      <c r="G97" s="31" t="s">
        <v>400</v>
      </c>
      <c r="H97" s="31" t="s">
        <v>402</v>
      </c>
      <c r="I97" s="31" t="s">
        <v>594</v>
      </c>
      <c r="J97" s="31" t="s">
        <v>610</v>
      </c>
      <c r="K97" s="31" t="s">
        <v>685</v>
      </c>
      <c r="L97" s="31" t="s">
        <v>254</v>
      </c>
      <c r="M97" s="31" t="s">
        <v>687</v>
      </c>
      <c r="N97" s="31" t="s">
        <v>144</v>
      </c>
      <c r="O97" s="31" t="s">
        <v>144</v>
      </c>
      <c r="P97" s="31" t="s">
        <v>144</v>
      </c>
      <c r="Q97" s="31" t="s">
        <v>274</v>
      </c>
      <c r="R97" s="31" t="s">
        <v>336</v>
      </c>
      <c r="S97" s="31" t="s">
        <v>751</v>
      </c>
      <c r="T97" s="31" t="s">
        <v>144</v>
      </c>
      <c r="U97" s="31" t="s">
        <v>144</v>
      </c>
      <c r="V97" s="31" t="s">
        <v>144</v>
      </c>
      <c r="W97" s="31" t="s">
        <v>144</v>
      </c>
      <c r="X97" s="31" t="s">
        <v>144</v>
      </c>
      <c r="AG97" s="31" t="s">
        <v>405</v>
      </c>
      <c r="AH97" s="31" t="s">
        <v>699</v>
      </c>
      <c r="AI97" s="31" t="s">
        <v>406</v>
      </c>
      <c r="AJ97" s="31" t="s">
        <v>407</v>
      </c>
      <c r="AK97" s="31" t="s">
        <v>144</v>
      </c>
      <c r="AL97" s="31" t="s">
        <v>144</v>
      </c>
      <c r="AM97" s="31" t="s">
        <v>144</v>
      </c>
      <c r="AN97" s="31" t="s">
        <v>144</v>
      </c>
      <c r="AO97" s="31" t="s">
        <v>144</v>
      </c>
      <c r="AP97" s="31" t="s">
        <v>144</v>
      </c>
      <c r="AQ97" s="31" t="s">
        <v>144</v>
      </c>
      <c r="AR97" s="31" t="s">
        <v>144</v>
      </c>
    </row>
    <row r="98" spans="5:44" s="31" customFormat="1" ht="15" customHeight="1" x14ac:dyDescent="0.3"/>
    <row r="99" spans="5:44" s="31" customFormat="1" ht="15" customHeight="1" x14ac:dyDescent="0.3">
      <c r="E99" s="31" t="s">
        <v>139</v>
      </c>
      <c r="F99" s="31" t="s">
        <v>564</v>
      </c>
      <c r="G99" s="31" t="s">
        <v>202</v>
      </c>
      <c r="H99" s="31" t="s">
        <v>154</v>
      </c>
      <c r="I99" s="31" t="s">
        <v>594</v>
      </c>
      <c r="J99" s="31" t="s">
        <v>610</v>
      </c>
      <c r="K99" s="31" t="s">
        <v>619</v>
      </c>
      <c r="L99" s="31" t="s">
        <v>254</v>
      </c>
      <c r="M99" s="375" t="s">
        <v>618</v>
      </c>
      <c r="N99" s="375"/>
      <c r="O99" s="31" t="s">
        <v>144</v>
      </c>
      <c r="P99" s="31" t="s">
        <v>144</v>
      </c>
      <c r="Q99" s="31" t="s">
        <v>624</v>
      </c>
      <c r="R99" s="31" t="s">
        <v>335</v>
      </c>
      <c r="S99" s="31" t="s">
        <v>144</v>
      </c>
      <c r="T99" s="31" t="s">
        <v>144</v>
      </c>
      <c r="U99" s="31" t="s">
        <v>144</v>
      </c>
      <c r="V99" s="31" t="s">
        <v>144</v>
      </c>
      <c r="W99" s="31" t="s">
        <v>144</v>
      </c>
      <c r="X99" s="31" t="s">
        <v>144</v>
      </c>
      <c r="Z99" s="33">
        <v>0.96</v>
      </c>
      <c r="AA99" s="31" t="s">
        <v>144</v>
      </c>
      <c r="AB99" s="31" t="s">
        <v>144</v>
      </c>
      <c r="AC99" s="31" t="s">
        <v>144</v>
      </c>
      <c r="AD99" s="31" t="s">
        <v>144</v>
      </c>
      <c r="AE99" s="31" t="s">
        <v>144</v>
      </c>
      <c r="AF99" s="31" t="s">
        <v>144</v>
      </c>
      <c r="AG99" s="31" t="s">
        <v>144</v>
      </c>
      <c r="AH99" s="31" t="s">
        <v>196</v>
      </c>
      <c r="AI99" s="31" t="s">
        <v>144</v>
      </c>
      <c r="AJ99" s="31" t="s">
        <v>144</v>
      </c>
      <c r="AK99" s="31" t="s">
        <v>144</v>
      </c>
      <c r="AL99" s="31" t="s">
        <v>346</v>
      </c>
      <c r="AM99" s="31" t="s">
        <v>144</v>
      </c>
      <c r="AN99" s="31" t="s">
        <v>164</v>
      </c>
      <c r="AO99" s="31" t="s">
        <v>758</v>
      </c>
      <c r="AP99" s="31" t="s">
        <v>144</v>
      </c>
      <c r="AQ99" s="31" t="s">
        <v>144</v>
      </c>
      <c r="AR99" s="31" t="s">
        <v>144</v>
      </c>
    </row>
    <row r="100" spans="5:44" s="31" customFormat="1" ht="15" customHeight="1" x14ac:dyDescent="0.3">
      <c r="E100" s="31" t="s">
        <v>139</v>
      </c>
      <c r="F100" s="31" t="s">
        <v>564</v>
      </c>
      <c r="G100" s="31" t="s">
        <v>202</v>
      </c>
      <c r="H100" s="31" t="s">
        <v>154</v>
      </c>
      <c r="I100" s="31" t="s">
        <v>594</v>
      </c>
      <c r="J100" s="31" t="s">
        <v>610</v>
      </c>
      <c r="K100" s="31" t="s">
        <v>621</v>
      </c>
      <c r="L100" s="31" t="s">
        <v>660</v>
      </c>
      <c r="M100" s="375" t="s">
        <v>623</v>
      </c>
      <c r="N100" s="375"/>
      <c r="O100" s="31" t="s">
        <v>144</v>
      </c>
      <c r="P100" s="31" t="s">
        <v>144</v>
      </c>
      <c r="Q100" s="31" t="s">
        <v>661</v>
      </c>
      <c r="R100" s="31" t="s">
        <v>335</v>
      </c>
      <c r="S100" s="31" t="s">
        <v>144</v>
      </c>
      <c r="T100" s="31" t="s">
        <v>144</v>
      </c>
      <c r="U100" s="31" t="s">
        <v>144</v>
      </c>
      <c r="V100" s="31" t="s">
        <v>144</v>
      </c>
      <c r="W100" s="31" t="s">
        <v>144</v>
      </c>
      <c r="X100" s="31" t="s">
        <v>144</v>
      </c>
      <c r="Z100" s="33">
        <v>0.96</v>
      </c>
      <c r="AA100" s="31" t="s">
        <v>144</v>
      </c>
      <c r="AB100" s="31" t="s">
        <v>144</v>
      </c>
      <c r="AC100" s="31" t="s">
        <v>144</v>
      </c>
      <c r="AD100" s="31" t="s">
        <v>144</v>
      </c>
      <c r="AE100" s="31" t="s">
        <v>144</v>
      </c>
      <c r="AF100" s="31" t="s">
        <v>144</v>
      </c>
      <c r="AG100" s="31" t="s">
        <v>144</v>
      </c>
      <c r="AH100" s="31" t="s">
        <v>196</v>
      </c>
      <c r="AI100" s="31" t="s">
        <v>144</v>
      </c>
      <c r="AJ100" s="31" t="s">
        <v>144</v>
      </c>
      <c r="AK100" s="31" t="s">
        <v>144</v>
      </c>
      <c r="AL100" s="31" t="s">
        <v>346</v>
      </c>
      <c r="AM100" s="31" t="s">
        <v>144</v>
      </c>
      <c r="AN100" s="31" t="s">
        <v>164</v>
      </c>
      <c r="AO100" s="31" t="s">
        <v>758</v>
      </c>
      <c r="AP100" s="31" t="s">
        <v>144</v>
      </c>
      <c r="AQ100" s="31" t="s">
        <v>144</v>
      </c>
      <c r="AR100" s="31" t="s">
        <v>144</v>
      </c>
    </row>
    <row r="101" spans="5:44" s="31" customFormat="1" ht="15" customHeight="1" x14ac:dyDescent="0.3">
      <c r="E101" s="31" t="s">
        <v>139</v>
      </c>
      <c r="F101" s="31" t="s">
        <v>564</v>
      </c>
      <c r="G101" s="31" t="s">
        <v>202</v>
      </c>
      <c r="H101" s="31" t="s">
        <v>154</v>
      </c>
      <c r="I101" s="31" t="s">
        <v>594</v>
      </c>
      <c r="J101" s="31" t="s">
        <v>610</v>
      </c>
      <c r="K101" s="31" t="s">
        <v>620</v>
      </c>
      <c r="L101" s="31" t="s">
        <v>254</v>
      </c>
      <c r="M101" s="375" t="s">
        <v>618</v>
      </c>
      <c r="N101" s="375"/>
      <c r="O101" s="31" t="s">
        <v>144</v>
      </c>
      <c r="P101" s="31" t="s">
        <v>144</v>
      </c>
      <c r="Q101" s="31" t="s">
        <v>624</v>
      </c>
      <c r="R101" s="31" t="s">
        <v>335</v>
      </c>
      <c r="S101" s="31" t="s">
        <v>144</v>
      </c>
      <c r="T101" s="31" t="s">
        <v>144</v>
      </c>
      <c r="U101" s="31" t="s">
        <v>144</v>
      </c>
      <c r="V101" s="31" t="s">
        <v>144</v>
      </c>
      <c r="W101" s="31" t="s">
        <v>144</v>
      </c>
      <c r="X101" s="31" t="s">
        <v>144</v>
      </c>
      <c r="Z101" s="33">
        <v>0.96</v>
      </c>
      <c r="AA101" s="31" t="s">
        <v>144</v>
      </c>
      <c r="AB101" s="31" t="s">
        <v>144</v>
      </c>
      <c r="AC101" s="31" t="s">
        <v>144</v>
      </c>
      <c r="AD101" s="31" t="s">
        <v>144</v>
      </c>
      <c r="AE101" s="31" t="s">
        <v>144</v>
      </c>
      <c r="AF101" s="31" t="s">
        <v>144</v>
      </c>
      <c r="AG101" s="31" t="s">
        <v>144</v>
      </c>
      <c r="AH101" s="31" t="s">
        <v>196</v>
      </c>
      <c r="AI101" s="31" t="s">
        <v>144</v>
      </c>
      <c r="AJ101" s="31" t="s">
        <v>144</v>
      </c>
      <c r="AK101" s="31" t="s">
        <v>144</v>
      </c>
      <c r="AL101" s="31" t="s">
        <v>346</v>
      </c>
      <c r="AM101" s="31" t="s">
        <v>144</v>
      </c>
      <c r="AN101" s="31" t="s">
        <v>164</v>
      </c>
      <c r="AO101" s="31" t="s">
        <v>758</v>
      </c>
      <c r="AP101" s="31" t="s">
        <v>144</v>
      </c>
      <c r="AQ101" s="31" t="s">
        <v>144</v>
      </c>
      <c r="AR101" s="31" t="s">
        <v>144</v>
      </c>
    </row>
    <row r="102" spans="5:44" s="31" customFormat="1" ht="15" customHeight="1" x14ac:dyDescent="0.3">
      <c r="E102" s="31" t="s">
        <v>139</v>
      </c>
      <c r="F102" s="31" t="s">
        <v>564</v>
      </c>
      <c r="G102" s="31" t="s">
        <v>202</v>
      </c>
      <c r="H102" s="31" t="s">
        <v>154</v>
      </c>
      <c r="I102" s="31" t="s">
        <v>594</v>
      </c>
      <c r="J102" s="31" t="s">
        <v>610</v>
      </c>
      <c r="K102" s="31" t="s">
        <v>622</v>
      </c>
      <c r="L102" s="31" t="s">
        <v>660</v>
      </c>
      <c r="M102" s="375" t="s">
        <v>623</v>
      </c>
      <c r="N102" s="375"/>
      <c r="O102" s="31" t="s">
        <v>144</v>
      </c>
      <c r="P102" s="31" t="s">
        <v>144</v>
      </c>
      <c r="Q102" s="31" t="s">
        <v>661</v>
      </c>
      <c r="R102" s="31" t="s">
        <v>335</v>
      </c>
      <c r="S102" s="31" t="s">
        <v>144</v>
      </c>
      <c r="T102" s="31" t="s">
        <v>144</v>
      </c>
      <c r="U102" s="31" t="s">
        <v>144</v>
      </c>
      <c r="V102" s="31" t="s">
        <v>144</v>
      </c>
      <c r="W102" s="31" t="s">
        <v>144</v>
      </c>
      <c r="X102" s="31" t="s">
        <v>144</v>
      </c>
      <c r="Z102" s="33">
        <v>0.96</v>
      </c>
      <c r="AA102" s="31" t="s">
        <v>144</v>
      </c>
      <c r="AB102" s="31" t="s">
        <v>144</v>
      </c>
      <c r="AC102" s="31" t="s">
        <v>144</v>
      </c>
      <c r="AD102" s="31" t="s">
        <v>144</v>
      </c>
      <c r="AE102" s="31" t="s">
        <v>144</v>
      </c>
      <c r="AF102" s="31" t="s">
        <v>144</v>
      </c>
      <c r="AG102" s="31" t="s">
        <v>144</v>
      </c>
      <c r="AH102" s="31" t="s">
        <v>196</v>
      </c>
      <c r="AI102" s="31" t="s">
        <v>144</v>
      </c>
      <c r="AJ102" s="31" t="s">
        <v>144</v>
      </c>
      <c r="AK102" s="31" t="s">
        <v>144</v>
      </c>
      <c r="AL102" s="31" t="s">
        <v>346</v>
      </c>
      <c r="AM102" s="31" t="s">
        <v>144</v>
      </c>
      <c r="AN102" s="31" t="s">
        <v>164</v>
      </c>
      <c r="AO102" s="31" t="s">
        <v>758</v>
      </c>
      <c r="AP102" s="31" t="s">
        <v>144</v>
      </c>
      <c r="AQ102" s="31" t="s">
        <v>144</v>
      </c>
      <c r="AR102" s="31" t="s">
        <v>144</v>
      </c>
    </row>
    <row r="103" spans="5:44" s="31" customFormat="1" ht="15" customHeight="1" x14ac:dyDescent="0.3">
      <c r="E103" s="31" t="s">
        <v>139</v>
      </c>
      <c r="F103" s="31" t="s">
        <v>564</v>
      </c>
      <c r="G103" s="31" t="s">
        <v>202</v>
      </c>
      <c r="H103" s="31" t="s">
        <v>154</v>
      </c>
      <c r="I103" s="31" t="s">
        <v>594</v>
      </c>
      <c r="J103" s="31" t="s">
        <v>607</v>
      </c>
      <c r="K103" s="31" t="s">
        <v>628</v>
      </c>
      <c r="L103" s="31" t="s">
        <v>254</v>
      </c>
      <c r="M103" s="375" t="s">
        <v>623</v>
      </c>
      <c r="N103" s="375"/>
      <c r="O103" s="31" t="s">
        <v>144</v>
      </c>
      <c r="P103" s="31" t="s">
        <v>144</v>
      </c>
      <c r="Q103" s="31" t="s">
        <v>624</v>
      </c>
      <c r="R103" s="31" t="s">
        <v>335</v>
      </c>
      <c r="S103" s="31" t="s">
        <v>144</v>
      </c>
      <c r="T103" s="31" t="s">
        <v>144</v>
      </c>
      <c r="U103" s="31" t="s">
        <v>144</v>
      </c>
      <c r="V103" s="31" t="s">
        <v>144</v>
      </c>
      <c r="W103" s="31" t="s">
        <v>144</v>
      </c>
      <c r="X103" s="31" t="s">
        <v>144</v>
      </c>
      <c r="Z103" s="33">
        <v>0.96</v>
      </c>
      <c r="AA103" s="31" t="s">
        <v>144</v>
      </c>
      <c r="AB103" s="31" t="s">
        <v>144</v>
      </c>
      <c r="AC103" s="31" t="s">
        <v>144</v>
      </c>
      <c r="AD103" s="31" t="s">
        <v>144</v>
      </c>
      <c r="AE103" s="31" t="s">
        <v>144</v>
      </c>
      <c r="AF103" s="31" t="s">
        <v>144</v>
      </c>
      <c r="AG103" s="31" t="s">
        <v>144</v>
      </c>
      <c r="AH103" s="31" t="s">
        <v>196</v>
      </c>
      <c r="AI103" s="31" t="s">
        <v>144</v>
      </c>
      <c r="AJ103" s="31" t="s">
        <v>144</v>
      </c>
      <c r="AK103" s="31" t="s">
        <v>144</v>
      </c>
      <c r="AL103" s="31" t="s">
        <v>346</v>
      </c>
      <c r="AM103" s="31" t="s">
        <v>144</v>
      </c>
      <c r="AN103" s="31" t="s">
        <v>164</v>
      </c>
      <c r="AO103" s="31" t="s">
        <v>758</v>
      </c>
      <c r="AP103" s="31" t="s">
        <v>144</v>
      </c>
      <c r="AQ103" s="31" t="s">
        <v>144</v>
      </c>
      <c r="AR103" s="31" t="s">
        <v>144</v>
      </c>
    </row>
    <row r="104" spans="5:44" s="31" customFormat="1" ht="15" customHeight="1" x14ac:dyDescent="0.3">
      <c r="E104" s="31" t="s">
        <v>139</v>
      </c>
      <c r="F104" s="31" t="s">
        <v>564</v>
      </c>
      <c r="G104" s="31" t="s">
        <v>202</v>
      </c>
      <c r="H104" s="31" t="s">
        <v>154</v>
      </c>
      <c r="I104" s="31" t="s">
        <v>594</v>
      </c>
      <c r="J104" s="31" t="s">
        <v>607</v>
      </c>
      <c r="K104" s="31" t="s">
        <v>629</v>
      </c>
      <c r="L104" s="31" t="s">
        <v>660</v>
      </c>
      <c r="M104" s="375" t="s">
        <v>623</v>
      </c>
      <c r="N104" s="375"/>
      <c r="O104" s="31" t="s">
        <v>144</v>
      </c>
      <c r="P104" s="31" t="s">
        <v>144</v>
      </c>
      <c r="Q104" s="31" t="s">
        <v>661</v>
      </c>
      <c r="R104" s="31" t="s">
        <v>335</v>
      </c>
      <c r="S104" s="31" t="s">
        <v>144</v>
      </c>
      <c r="T104" s="31" t="s">
        <v>144</v>
      </c>
      <c r="U104" s="31" t="s">
        <v>144</v>
      </c>
      <c r="V104" s="31" t="s">
        <v>144</v>
      </c>
      <c r="W104" s="31" t="s">
        <v>144</v>
      </c>
      <c r="X104" s="31" t="s">
        <v>144</v>
      </c>
      <c r="Z104" s="33">
        <v>0.96</v>
      </c>
      <c r="AA104" s="31" t="s">
        <v>144</v>
      </c>
      <c r="AB104" s="31" t="s">
        <v>144</v>
      </c>
      <c r="AC104" s="31" t="s">
        <v>144</v>
      </c>
      <c r="AD104" s="31" t="s">
        <v>144</v>
      </c>
      <c r="AE104" s="31" t="s">
        <v>144</v>
      </c>
      <c r="AF104" s="31" t="s">
        <v>144</v>
      </c>
      <c r="AG104" s="31" t="s">
        <v>144</v>
      </c>
      <c r="AH104" s="31" t="s">
        <v>196</v>
      </c>
      <c r="AI104" s="31" t="s">
        <v>144</v>
      </c>
      <c r="AJ104" s="31" t="s">
        <v>144</v>
      </c>
      <c r="AK104" s="31" t="s">
        <v>144</v>
      </c>
      <c r="AL104" s="31" t="s">
        <v>346</v>
      </c>
      <c r="AM104" s="31" t="s">
        <v>144</v>
      </c>
      <c r="AN104" s="31" t="s">
        <v>164</v>
      </c>
      <c r="AO104" s="31" t="s">
        <v>758</v>
      </c>
      <c r="AP104" s="31" t="s">
        <v>144</v>
      </c>
      <c r="AQ104" s="31" t="s">
        <v>144</v>
      </c>
      <c r="AR104" s="31" t="s">
        <v>144</v>
      </c>
    </row>
    <row r="105" spans="5:44" s="31" customFormat="1" ht="15" customHeight="1" x14ac:dyDescent="0.3">
      <c r="E105" s="31" t="s">
        <v>139</v>
      </c>
      <c r="F105" s="31" t="s">
        <v>564</v>
      </c>
      <c r="G105" s="31" t="s">
        <v>202</v>
      </c>
      <c r="H105" s="31" t="s">
        <v>154</v>
      </c>
      <c r="I105" s="31" t="s">
        <v>594</v>
      </c>
      <c r="J105" s="31" t="s">
        <v>607</v>
      </c>
      <c r="K105" s="31" t="s">
        <v>630</v>
      </c>
      <c r="L105" s="31" t="s">
        <v>254</v>
      </c>
      <c r="M105" s="375" t="s">
        <v>623</v>
      </c>
      <c r="N105" s="375"/>
      <c r="O105" s="31" t="s">
        <v>144</v>
      </c>
      <c r="P105" s="31" t="s">
        <v>144</v>
      </c>
      <c r="Q105" s="31" t="s">
        <v>624</v>
      </c>
      <c r="R105" s="31" t="s">
        <v>335</v>
      </c>
      <c r="S105" s="31" t="s">
        <v>144</v>
      </c>
      <c r="T105" s="31" t="s">
        <v>144</v>
      </c>
      <c r="U105" s="31" t="s">
        <v>144</v>
      </c>
      <c r="V105" s="31" t="s">
        <v>144</v>
      </c>
      <c r="W105" s="31" t="s">
        <v>144</v>
      </c>
      <c r="X105" s="31" t="s">
        <v>144</v>
      </c>
      <c r="Z105" s="33">
        <v>0.96</v>
      </c>
      <c r="AA105" s="31" t="s">
        <v>144</v>
      </c>
      <c r="AB105" s="31" t="s">
        <v>144</v>
      </c>
      <c r="AC105" s="31" t="s">
        <v>144</v>
      </c>
      <c r="AD105" s="31" t="s">
        <v>144</v>
      </c>
      <c r="AE105" s="31" t="s">
        <v>144</v>
      </c>
      <c r="AF105" s="31" t="s">
        <v>144</v>
      </c>
      <c r="AG105" s="31" t="s">
        <v>144</v>
      </c>
      <c r="AH105" s="31" t="s">
        <v>196</v>
      </c>
      <c r="AI105" s="31" t="s">
        <v>144</v>
      </c>
      <c r="AJ105" s="31" t="s">
        <v>144</v>
      </c>
      <c r="AK105" s="31" t="s">
        <v>144</v>
      </c>
      <c r="AL105" s="31" t="s">
        <v>346</v>
      </c>
      <c r="AM105" s="31" t="s">
        <v>144</v>
      </c>
      <c r="AN105" s="31" t="s">
        <v>164</v>
      </c>
      <c r="AO105" s="31" t="s">
        <v>758</v>
      </c>
      <c r="AP105" s="31" t="s">
        <v>144</v>
      </c>
      <c r="AQ105" s="31" t="s">
        <v>144</v>
      </c>
      <c r="AR105" s="31" t="s">
        <v>144</v>
      </c>
    </row>
    <row r="106" spans="5:44" s="31" customFormat="1" ht="15" customHeight="1" x14ac:dyDescent="0.3">
      <c r="E106" s="31" t="s">
        <v>139</v>
      </c>
      <c r="F106" s="31" t="s">
        <v>564</v>
      </c>
      <c r="G106" s="31" t="s">
        <v>202</v>
      </c>
      <c r="H106" s="31" t="s">
        <v>154</v>
      </c>
      <c r="I106" s="31" t="s">
        <v>594</v>
      </c>
      <c r="J106" s="31" t="s">
        <v>607</v>
      </c>
      <c r="K106" s="31" t="s">
        <v>631</v>
      </c>
      <c r="L106" s="31" t="s">
        <v>660</v>
      </c>
      <c r="M106" s="375" t="s">
        <v>623</v>
      </c>
      <c r="N106" s="375"/>
      <c r="O106" s="31" t="s">
        <v>144</v>
      </c>
      <c r="P106" s="31" t="s">
        <v>144</v>
      </c>
      <c r="Q106" s="31" t="s">
        <v>661</v>
      </c>
      <c r="R106" s="31" t="s">
        <v>335</v>
      </c>
      <c r="S106" s="31" t="s">
        <v>144</v>
      </c>
      <c r="T106" s="31" t="s">
        <v>144</v>
      </c>
      <c r="U106" s="31" t="s">
        <v>144</v>
      </c>
      <c r="V106" s="31" t="s">
        <v>144</v>
      </c>
      <c r="W106" s="31" t="s">
        <v>144</v>
      </c>
      <c r="X106" s="31" t="s">
        <v>144</v>
      </c>
      <c r="Z106" s="33">
        <v>0.96</v>
      </c>
      <c r="AA106" s="31" t="s">
        <v>144</v>
      </c>
      <c r="AB106" s="31" t="s">
        <v>144</v>
      </c>
      <c r="AC106" s="31" t="s">
        <v>144</v>
      </c>
      <c r="AD106" s="31" t="s">
        <v>144</v>
      </c>
      <c r="AE106" s="31" t="s">
        <v>144</v>
      </c>
      <c r="AF106" s="31" t="s">
        <v>144</v>
      </c>
      <c r="AG106" s="31" t="s">
        <v>144</v>
      </c>
      <c r="AH106" s="31" t="s">
        <v>196</v>
      </c>
      <c r="AI106" s="31" t="s">
        <v>144</v>
      </c>
      <c r="AJ106" s="31" t="s">
        <v>144</v>
      </c>
      <c r="AK106" s="31" t="s">
        <v>144</v>
      </c>
      <c r="AL106" s="31" t="s">
        <v>346</v>
      </c>
      <c r="AM106" s="31" t="s">
        <v>144</v>
      </c>
      <c r="AN106" s="31" t="s">
        <v>164</v>
      </c>
      <c r="AO106" s="31" t="s">
        <v>758</v>
      </c>
      <c r="AP106" s="31" t="s">
        <v>144</v>
      </c>
      <c r="AQ106" s="31" t="s">
        <v>144</v>
      </c>
      <c r="AR106" s="31" t="s">
        <v>144</v>
      </c>
    </row>
    <row r="107" spans="5:44" s="31" customFormat="1" ht="15" customHeight="1" x14ac:dyDescent="0.3">
      <c r="E107" s="31" t="s">
        <v>139</v>
      </c>
      <c r="F107" s="31" t="s">
        <v>564</v>
      </c>
      <c r="G107" s="31" t="s">
        <v>202</v>
      </c>
      <c r="H107" s="31" t="s">
        <v>154</v>
      </c>
      <c r="I107" s="31" t="s">
        <v>594</v>
      </c>
      <c r="J107" s="31" t="s">
        <v>625</v>
      </c>
      <c r="K107" s="31" t="s">
        <v>632</v>
      </c>
      <c r="L107" s="31" t="s">
        <v>254</v>
      </c>
      <c r="M107" s="375" t="s">
        <v>640</v>
      </c>
      <c r="N107" s="375"/>
      <c r="O107" s="31" t="s">
        <v>144</v>
      </c>
      <c r="P107" s="31" t="s">
        <v>144</v>
      </c>
      <c r="Q107" s="31" t="s">
        <v>641</v>
      </c>
      <c r="R107" s="31" t="s">
        <v>335</v>
      </c>
      <c r="S107" s="31" t="s">
        <v>144</v>
      </c>
      <c r="T107" s="31" t="s">
        <v>144</v>
      </c>
      <c r="U107" s="31" t="s">
        <v>144</v>
      </c>
      <c r="V107" s="31" t="s">
        <v>144</v>
      </c>
      <c r="W107" s="31" t="s">
        <v>144</v>
      </c>
      <c r="X107" s="31" t="s">
        <v>144</v>
      </c>
      <c r="Z107" s="33">
        <v>0.96</v>
      </c>
      <c r="AA107" s="31" t="s">
        <v>144</v>
      </c>
      <c r="AB107" s="31" t="s">
        <v>144</v>
      </c>
      <c r="AC107" s="31" t="s">
        <v>144</v>
      </c>
      <c r="AD107" s="31" t="s">
        <v>144</v>
      </c>
      <c r="AE107" s="31" t="s">
        <v>144</v>
      </c>
      <c r="AF107" s="31" t="s">
        <v>144</v>
      </c>
      <c r="AG107" s="31" t="s">
        <v>144</v>
      </c>
      <c r="AH107" s="31" t="s">
        <v>196</v>
      </c>
      <c r="AI107" s="31" t="s">
        <v>144</v>
      </c>
      <c r="AJ107" s="31" t="s">
        <v>144</v>
      </c>
      <c r="AK107" s="31" t="s">
        <v>144</v>
      </c>
      <c r="AL107" s="31" t="s">
        <v>346</v>
      </c>
      <c r="AM107" s="31" t="s">
        <v>144</v>
      </c>
      <c r="AN107" s="31" t="s">
        <v>164</v>
      </c>
      <c r="AO107" s="31" t="s">
        <v>758</v>
      </c>
      <c r="AP107" s="31" t="s">
        <v>144</v>
      </c>
      <c r="AQ107" s="31" t="s">
        <v>144</v>
      </c>
      <c r="AR107" s="31" t="s">
        <v>144</v>
      </c>
    </row>
    <row r="108" spans="5:44" s="31" customFormat="1" ht="15" customHeight="1" x14ac:dyDescent="0.3">
      <c r="E108" s="31" t="s">
        <v>139</v>
      </c>
      <c r="F108" s="31" t="s">
        <v>564</v>
      </c>
      <c r="G108" s="31" t="s">
        <v>202</v>
      </c>
      <c r="H108" s="31" t="s">
        <v>154</v>
      </c>
      <c r="I108" s="31" t="s">
        <v>594</v>
      </c>
      <c r="J108" s="31" t="s">
        <v>625</v>
      </c>
      <c r="K108" s="31" t="s">
        <v>634</v>
      </c>
      <c r="L108" s="31" t="s">
        <v>660</v>
      </c>
      <c r="M108" s="375" t="s">
        <v>640</v>
      </c>
      <c r="N108" s="375"/>
      <c r="O108" s="31" t="s">
        <v>144</v>
      </c>
      <c r="P108" s="31" t="s">
        <v>144</v>
      </c>
      <c r="Q108" s="31" t="s">
        <v>661</v>
      </c>
      <c r="R108" s="31" t="s">
        <v>335</v>
      </c>
      <c r="S108" s="31" t="s">
        <v>144</v>
      </c>
      <c r="T108" s="31" t="s">
        <v>144</v>
      </c>
      <c r="U108" s="31" t="s">
        <v>144</v>
      </c>
      <c r="V108" s="31" t="s">
        <v>144</v>
      </c>
      <c r="W108" s="31" t="s">
        <v>144</v>
      </c>
      <c r="X108" s="31" t="s">
        <v>144</v>
      </c>
      <c r="Z108" s="33">
        <v>0.96</v>
      </c>
      <c r="AA108" s="31" t="s">
        <v>144</v>
      </c>
      <c r="AB108" s="31" t="s">
        <v>144</v>
      </c>
      <c r="AC108" s="31" t="s">
        <v>144</v>
      </c>
      <c r="AD108" s="31" t="s">
        <v>144</v>
      </c>
      <c r="AE108" s="31" t="s">
        <v>144</v>
      </c>
      <c r="AF108" s="31" t="s">
        <v>144</v>
      </c>
      <c r="AG108" s="31" t="s">
        <v>144</v>
      </c>
      <c r="AH108" s="31" t="s">
        <v>196</v>
      </c>
      <c r="AI108" s="31" t="s">
        <v>144</v>
      </c>
      <c r="AJ108" s="31" t="s">
        <v>144</v>
      </c>
      <c r="AK108" s="31" t="s">
        <v>144</v>
      </c>
      <c r="AL108" s="31" t="s">
        <v>346</v>
      </c>
      <c r="AM108" s="31" t="s">
        <v>144</v>
      </c>
      <c r="AN108" s="31" t="s">
        <v>164</v>
      </c>
      <c r="AO108" s="31" t="s">
        <v>758</v>
      </c>
      <c r="AP108" s="31" t="s">
        <v>144</v>
      </c>
      <c r="AQ108" s="31" t="s">
        <v>144</v>
      </c>
      <c r="AR108" s="31" t="s">
        <v>144</v>
      </c>
    </row>
    <row r="109" spans="5:44" s="31" customFormat="1" ht="15" customHeight="1" x14ac:dyDescent="0.3">
      <c r="E109" s="31" t="s">
        <v>139</v>
      </c>
      <c r="F109" s="31" t="s">
        <v>564</v>
      </c>
      <c r="G109" s="31" t="s">
        <v>202</v>
      </c>
      <c r="H109" s="31" t="s">
        <v>154</v>
      </c>
      <c r="I109" s="31" t="s">
        <v>594</v>
      </c>
      <c r="J109" s="31" t="s">
        <v>625</v>
      </c>
      <c r="K109" s="31" t="s">
        <v>633</v>
      </c>
      <c r="L109" s="31" t="s">
        <v>254</v>
      </c>
      <c r="M109" s="375" t="s">
        <v>640</v>
      </c>
      <c r="N109" s="375"/>
      <c r="O109" s="31" t="s">
        <v>144</v>
      </c>
      <c r="P109" s="31" t="s">
        <v>144</v>
      </c>
      <c r="Q109" s="31" t="s">
        <v>641</v>
      </c>
      <c r="R109" s="31" t="s">
        <v>335</v>
      </c>
      <c r="S109" s="31" t="s">
        <v>144</v>
      </c>
      <c r="T109" s="31" t="s">
        <v>144</v>
      </c>
      <c r="U109" s="31" t="s">
        <v>144</v>
      </c>
      <c r="V109" s="31" t="s">
        <v>144</v>
      </c>
      <c r="W109" s="31" t="s">
        <v>144</v>
      </c>
      <c r="X109" s="31" t="s">
        <v>144</v>
      </c>
      <c r="Z109" s="33">
        <v>0.96</v>
      </c>
      <c r="AA109" s="31" t="s">
        <v>144</v>
      </c>
      <c r="AB109" s="31" t="s">
        <v>144</v>
      </c>
      <c r="AC109" s="31" t="s">
        <v>144</v>
      </c>
      <c r="AD109" s="31" t="s">
        <v>144</v>
      </c>
      <c r="AE109" s="31" t="s">
        <v>144</v>
      </c>
      <c r="AF109" s="31" t="s">
        <v>144</v>
      </c>
      <c r="AG109" s="31" t="s">
        <v>144</v>
      </c>
      <c r="AH109" s="31" t="s">
        <v>196</v>
      </c>
      <c r="AI109" s="31" t="s">
        <v>144</v>
      </c>
      <c r="AJ109" s="31" t="s">
        <v>144</v>
      </c>
      <c r="AK109" s="31" t="s">
        <v>144</v>
      </c>
      <c r="AL109" s="31" t="s">
        <v>346</v>
      </c>
      <c r="AM109" s="31" t="s">
        <v>144</v>
      </c>
      <c r="AN109" s="31" t="s">
        <v>164</v>
      </c>
      <c r="AO109" s="31" t="s">
        <v>758</v>
      </c>
      <c r="AP109" s="31" t="s">
        <v>144</v>
      </c>
      <c r="AQ109" s="31" t="s">
        <v>144</v>
      </c>
      <c r="AR109" s="31" t="s">
        <v>144</v>
      </c>
    </row>
    <row r="110" spans="5:44" s="31" customFormat="1" ht="15" customHeight="1" x14ac:dyDescent="0.3">
      <c r="E110" s="31" t="s">
        <v>139</v>
      </c>
      <c r="F110" s="31" t="s">
        <v>564</v>
      </c>
      <c r="G110" s="31" t="s">
        <v>202</v>
      </c>
      <c r="H110" s="31" t="s">
        <v>154</v>
      </c>
      <c r="I110" s="31" t="s">
        <v>594</v>
      </c>
      <c r="J110" s="31" t="s">
        <v>625</v>
      </c>
      <c r="K110" s="31" t="s">
        <v>635</v>
      </c>
      <c r="L110" s="31" t="s">
        <v>660</v>
      </c>
      <c r="M110" s="375" t="s">
        <v>640</v>
      </c>
      <c r="N110" s="375"/>
      <c r="O110" s="31" t="s">
        <v>144</v>
      </c>
      <c r="P110" s="31" t="s">
        <v>144</v>
      </c>
      <c r="Q110" s="31" t="s">
        <v>661</v>
      </c>
      <c r="R110" s="31" t="s">
        <v>335</v>
      </c>
      <c r="S110" s="31" t="s">
        <v>144</v>
      </c>
      <c r="T110" s="31" t="s">
        <v>144</v>
      </c>
      <c r="U110" s="31" t="s">
        <v>144</v>
      </c>
      <c r="V110" s="31" t="s">
        <v>144</v>
      </c>
      <c r="W110" s="31" t="s">
        <v>144</v>
      </c>
      <c r="X110" s="31" t="s">
        <v>144</v>
      </c>
      <c r="Z110" s="33">
        <v>0.96</v>
      </c>
      <c r="AA110" s="31" t="s">
        <v>144</v>
      </c>
      <c r="AB110" s="31" t="s">
        <v>144</v>
      </c>
      <c r="AC110" s="31" t="s">
        <v>144</v>
      </c>
      <c r="AD110" s="31" t="s">
        <v>144</v>
      </c>
      <c r="AE110" s="31" t="s">
        <v>144</v>
      </c>
      <c r="AF110" s="31" t="s">
        <v>144</v>
      </c>
      <c r="AG110" s="31" t="s">
        <v>144</v>
      </c>
      <c r="AH110" s="31" t="s">
        <v>196</v>
      </c>
      <c r="AI110" s="31" t="s">
        <v>144</v>
      </c>
      <c r="AJ110" s="31" t="s">
        <v>144</v>
      </c>
      <c r="AK110" s="31" t="s">
        <v>144</v>
      </c>
      <c r="AL110" s="31" t="s">
        <v>346</v>
      </c>
      <c r="AM110" s="31" t="s">
        <v>144</v>
      </c>
      <c r="AN110" s="31" t="s">
        <v>164</v>
      </c>
      <c r="AO110" s="31" t="s">
        <v>758</v>
      </c>
      <c r="AP110" s="31" t="s">
        <v>144</v>
      </c>
      <c r="AQ110" s="31" t="s">
        <v>144</v>
      </c>
      <c r="AR110" s="31" t="s">
        <v>144</v>
      </c>
    </row>
    <row r="111" spans="5:44" s="31" customFormat="1" ht="15" customHeight="1" x14ac:dyDescent="0.3">
      <c r="E111" s="31" t="s">
        <v>139</v>
      </c>
      <c r="F111" s="31" t="s">
        <v>564</v>
      </c>
      <c r="G111" s="31" t="s">
        <v>202</v>
      </c>
      <c r="H111" s="31" t="s">
        <v>154</v>
      </c>
      <c r="I111" s="31" t="s">
        <v>594</v>
      </c>
      <c r="J111" s="31" t="s">
        <v>625</v>
      </c>
      <c r="K111" s="31" t="s">
        <v>636</v>
      </c>
      <c r="L111" s="31" t="s">
        <v>254</v>
      </c>
      <c r="M111" s="375" t="s">
        <v>640</v>
      </c>
      <c r="N111" s="375"/>
      <c r="O111" s="31" t="s">
        <v>144</v>
      </c>
      <c r="P111" s="31" t="s">
        <v>144</v>
      </c>
      <c r="Q111" s="31" t="s">
        <v>641</v>
      </c>
      <c r="R111" s="31" t="s">
        <v>335</v>
      </c>
      <c r="S111" s="31" t="s">
        <v>144</v>
      </c>
      <c r="T111" s="31" t="s">
        <v>144</v>
      </c>
      <c r="U111" s="31" t="s">
        <v>144</v>
      </c>
      <c r="V111" s="31" t="s">
        <v>144</v>
      </c>
      <c r="W111" s="31" t="s">
        <v>144</v>
      </c>
      <c r="X111" s="31" t="s">
        <v>144</v>
      </c>
      <c r="Z111" s="33">
        <v>0.96</v>
      </c>
      <c r="AA111" s="31" t="s">
        <v>144</v>
      </c>
      <c r="AB111" s="31" t="s">
        <v>144</v>
      </c>
      <c r="AC111" s="31" t="s">
        <v>144</v>
      </c>
      <c r="AD111" s="31" t="s">
        <v>144</v>
      </c>
      <c r="AE111" s="31" t="s">
        <v>144</v>
      </c>
      <c r="AF111" s="31" t="s">
        <v>144</v>
      </c>
      <c r="AG111" s="31" t="s">
        <v>144</v>
      </c>
      <c r="AH111" s="31" t="s">
        <v>196</v>
      </c>
      <c r="AI111" s="31" t="s">
        <v>144</v>
      </c>
      <c r="AJ111" s="31" t="s">
        <v>144</v>
      </c>
      <c r="AK111" s="31" t="s">
        <v>144</v>
      </c>
      <c r="AL111" s="31" t="s">
        <v>346</v>
      </c>
      <c r="AM111" s="31" t="s">
        <v>144</v>
      </c>
      <c r="AN111" s="31" t="s">
        <v>164</v>
      </c>
      <c r="AO111" s="31" t="s">
        <v>758</v>
      </c>
      <c r="AP111" s="31" t="s">
        <v>144</v>
      </c>
      <c r="AQ111" s="31" t="s">
        <v>144</v>
      </c>
      <c r="AR111" s="31" t="s">
        <v>144</v>
      </c>
    </row>
    <row r="112" spans="5:44" s="31" customFormat="1" ht="15" customHeight="1" x14ac:dyDescent="0.3">
      <c r="E112" s="31" t="s">
        <v>139</v>
      </c>
      <c r="F112" s="31" t="s">
        <v>564</v>
      </c>
      <c r="G112" s="31" t="s">
        <v>202</v>
      </c>
      <c r="H112" s="31" t="s">
        <v>154</v>
      </c>
      <c r="I112" s="31" t="s">
        <v>594</v>
      </c>
      <c r="J112" s="31" t="s">
        <v>625</v>
      </c>
      <c r="K112" s="31" t="s">
        <v>637</v>
      </c>
      <c r="L112" s="31" t="s">
        <v>660</v>
      </c>
      <c r="M112" s="375" t="s">
        <v>640</v>
      </c>
      <c r="N112" s="375"/>
      <c r="O112" s="31" t="s">
        <v>144</v>
      </c>
      <c r="P112" s="31" t="s">
        <v>144</v>
      </c>
      <c r="Q112" s="31" t="s">
        <v>661</v>
      </c>
      <c r="R112" s="31" t="s">
        <v>335</v>
      </c>
      <c r="S112" s="31" t="s">
        <v>144</v>
      </c>
      <c r="T112" s="31" t="s">
        <v>144</v>
      </c>
      <c r="U112" s="31" t="s">
        <v>144</v>
      </c>
      <c r="V112" s="31" t="s">
        <v>144</v>
      </c>
      <c r="W112" s="31" t="s">
        <v>144</v>
      </c>
      <c r="X112" s="31" t="s">
        <v>144</v>
      </c>
      <c r="Z112" s="33">
        <v>0.96</v>
      </c>
      <c r="AA112" s="31" t="s">
        <v>144</v>
      </c>
      <c r="AB112" s="31" t="s">
        <v>144</v>
      </c>
      <c r="AC112" s="31" t="s">
        <v>144</v>
      </c>
      <c r="AD112" s="31" t="s">
        <v>144</v>
      </c>
      <c r="AE112" s="31" t="s">
        <v>144</v>
      </c>
      <c r="AF112" s="31" t="s">
        <v>144</v>
      </c>
      <c r="AG112" s="31" t="s">
        <v>144</v>
      </c>
      <c r="AH112" s="31" t="s">
        <v>196</v>
      </c>
      <c r="AI112" s="31" t="s">
        <v>144</v>
      </c>
      <c r="AJ112" s="31" t="s">
        <v>144</v>
      </c>
      <c r="AK112" s="31" t="s">
        <v>144</v>
      </c>
      <c r="AL112" s="31" t="s">
        <v>346</v>
      </c>
      <c r="AM112" s="31" t="s">
        <v>144</v>
      </c>
      <c r="AN112" s="31" t="s">
        <v>164</v>
      </c>
      <c r="AO112" s="31" t="s">
        <v>758</v>
      </c>
      <c r="AP112" s="31" t="s">
        <v>144</v>
      </c>
      <c r="AQ112" s="31" t="s">
        <v>144</v>
      </c>
      <c r="AR112" s="31" t="s">
        <v>144</v>
      </c>
    </row>
    <row r="113" spans="5:44" s="31" customFormat="1" ht="15" customHeight="1" x14ac:dyDescent="0.3">
      <c r="E113" s="31" t="s">
        <v>139</v>
      </c>
      <c r="F113" s="31" t="s">
        <v>564</v>
      </c>
      <c r="G113" s="31" t="s">
        <v>202</v>
      </c>
      <c r="H113" s="31" t="s">
        <v>154</v>
      </c>
      <c r="I113" s="31" t="s">
        <v>594</v>
      </c>
      <c r="J113" s="31" t="s">
        <v>625</v>
      </c>
      <c r="K113" s="31" t="s">
        <v>638</v>
      </c>
      <c r="L113" s="31" t="s">
        <v>254</v>
      </c>
      <c r="M113" s="375" t="s">
        <v>640</v>
      </c>
      <c r="N113" s="375"/>
      <c r="O113" s="31" t="s">
        <v>144</v>
      </c>
      <c r="P113" s="31" t="s">
        <v>144</v>
      </c>
      <c r="Q113" s="31" t="s">
        <v>641</v>
      </c>
      <c r="R113" s="31" t="s">
        <v>335</v>
      </c>
      <c r="S113" s="31" t="s">
        <v>144</v>
      </c>
      <c r="T113" s="31" t="s">
        <v>144</v>
      </c>
      <c r="U113" s="31" t="s">
        <v>144</v>
      </c>
      <c r="V113" s="31" t="s">
        <v>144</v>
      </c>
      <c r="W113" s="31" t="s">
        <v>144</v>
      </c>
      <c r="X113" s="31" t="s">
        <v>144</v>
      </c>
      <c r="Z113" s="33">
        <v>0.96</v>
      </c>
      <c r="AA113" s="31" t="s">
        <v>144</v>
      </c>
      <c r="AB113" s="31" t="s">
        <v>144</v>
      </c>
      <c r="AC113" s="31" t="s">
        <v>144</v>
      </c>
      <c r="AD113" s="31" t="s">
        <v>144</v>
      </c>
      <c r="AE113" s="31" t="s">
        <v>144</v>
      </c>
      <c r="AF113" s="31" t="s">
        <v>144</v>
      </c>
      <c r="AG113" s="31" t="s">
        <v>144</v>
      </c>
      <c r="AH113" s="31" t="s">
        <v>196</v>
      </c>
      <c r="AI113" s="31" t="s">
        <v>144</v>
      </c>
      <c r="AJ113" s="31" t="s">
        <v>144</v>
      </c>
      <c r="AK113" s="31" t="s">
        <v>144</v>
      </c>
      <c r="AL113" s="31" t="s">
        <v>346</v>
      </c>
      <c r="AM113" s="31" t="s">
        <v>144</v>
      </c>
      <c r="AN113" s="31" t="s">
        <v>164</v>
      </c>
      <c r="AO113" s="31" t="s">
        <v>758</v>
      </c>
      <c r="AP113" s="31" t="s">
        <v>144</v>
      </c>
      <c r="AQ113" s="31" t="s">
        <v>144</v>
      </c>
      <c r="AR113" s="31" t="s">
        <v>144</v>
      </c>
    </row>
    <row r="114" spans="5:44" s="31" customFormat="1" ht="15" customHeight="1" x14ac:dyDescent="0.3">
      <c r="E114" s="31" t="s">
        <v>139</v>
      </c>
      <c r="F114" s="31" t="s">
        <v>564</v>
      </c>
      <c r="G114" s="31" t="s">
        <v>202</v>
      </c>
      <c r="H114" s="31" t="s">
        <v>154</v>
      </c>
      <c r="I114" s="31" t="s">
        <v>594</v>
      </c>
      <c r="J114" s="31" t="s">
        <v>625</v>
      </c>
      <c r="K114" s="31" t="s">
        <v>639</v>
      </c>
      <c r="L114" s="31" t="s">
        <v>660</v>
      </c>
      <c r="M114" s="375" t="s">
        <v>640</v>
      </c>
      <c r="N114" s="375"/>
      <c r="O114" s="31" t="s">
        <v>144</v>
      </c>
      <c r="P114" s="31" t="s">
        <v>144</v>
      </c>
      <c r="Q114" s="31" t="s">
        <v>661</v>
      </c>
      <c r="R114" s="31" t="s">
        <v>335</v>
      </c>
      <c r="S114" s="31" t="s">
        <v>144</v>
      </c>
      <c r="T114" s="31" t="s">
        <v>144</v>
      </c>
      <c r="U114" s="31" t="s">
        <v>144</v>
      </c>
      <c r="V114" s="31" t="s">
        <v>144</v>
      </c>
      <c r="W114" s="31" t="s">
        <v>144</v>
      </c>
      <c r="X114" s="31" t="s">
        <v>144</v>
      </c>
      <c r="Z114" s="33">
        <v>0.96</v>
      </c>
      <c r="AA114" s="31" t="s">
        <v>144</v>
      </c>
      <c r="AB114" s="31" t="s">
        <v>144</v>
      </c>
      <c r="AC114" s="31" t="s">
        <v>144</v>
      </c>
      <c r="AD114" s="31" t="s">
        <v>144</v>
      </c>
      <c r="AE114" s="31" t="s">
        <v>144</v>
      </c>
      <c r="AF114" s="31" t="s">
        <v>144</v>
      </c>
      <c r="AG114" s="31" t="s">
        <v>144</v>
      </c>
      <c r="AH114" s="31" t="s">
        <v>196</v>
      </c>
      <c r="AI114" s="31" t="s">
        <v>144</v>
      </c>
      <c r="AJ114" s="31" t="s">
        <v>144</v>
      </c>
      <c r="AK114" s="31" t="s">
        <v>144</v>
      </c>
      <c r="AL114" s="31" t="s">
        <v>346</v>
      </c>
      <c r="AM114" s="31" t="s">
        <v>144</v>
      </c>
      <c r="AN114" s="31" t="s">
        <v>164</v>
      </c>
      <c r="AO114" s="31" t="s">
        <v>758</v>
      </c>
      <c r="AP114" s="31" t="s">
        <v>144</v>
      </c>
      <c r="AQ114" s="31" t="s">
        <v>144</v>
      </c>
      <c r="AR114" s="31" t="s">
        <v>144</v>
      </c>
    </row>
    <row r="115" spans="5:44" s="31" customFormat="1" ht="15" customHeight="1" x14ac:dyDescent="0.3">
      <c r="E115" s="31" t="s">
        <v>139</v>
      </c>
      <c r="F115" s="31" t="s">
        <v>564</v>
      </c>
      <c r="G115" s="31" t="s">
        <v>202</v>
      </c>
      <c r="H115" s="31" t="s">
        <v>154</v>
      </c>
      <c r="I115" s="31" t="s">
        <v>594</v>
      </c>
      <c r="J115" s="31" t="s">
        <v>626</v>
      </c>
      <c r="K115" s="31" t="s">
        <v>648</v>
      </c>
      <c r="L115" s="31" t="s">
        <v>254</v>
      </c>
      <c r="M115" s="375" t="s">
        <v>650</v>
      </c>
      <c r="N115" s="375"/>
      <c r="O115" s="31" t="s">
        <v>144</v>
      </c>
      <c r="P115" s="31" t="s">
        <v>144</v>
      </c>
      <c r="Q115" s="31" t="s">
        <v>624</v>
      </c>
      <c r="R115" s="31" t="s">
        <v>335</v>
      </c>
      <c r="S115" s="31" t="s">
        <v>144</v>
      </c>
      <c r="T115" s="31" t="s">
        <v>144</v>
      </c>
      <c r="U115" s="31" t="s">
        <v>144</v>
      </c>
      <c r="V115" s="31" t="s">
        <v>144</v>
      </c>
      <c r="W115" s="31" t="s">
        <v>144</v>
      </c>
      <c r="X115" s="31" t="s">
        <v>144</v>
      </c>
      <c r="Z115" s="33">
        <v>0.96</v>
      </c>
      <c r="AA115" s="31" t="s">
        <v>144</v>
      </c>
      <c r="AB115" s="31" t="s">
        <v>144</v>
      </c>
      <c r="AC115" s="31" t="s">
        <v>144</v>
      </c>
      <c r="AD115" s="31" t="s">
        <v>144</v>
      </c>
      <c r="AE115" s="31" t="s">
        <v>144</v>
      </c>
      <c r="AF115" s="31" t="s">
        <v>144</v>
      </c>
      <c r="AG115" s="31" t="s">
        <v>144</v>
      </c>
      <c r="AH115" s="31" t="s">
        <v>196</v>
      </c>
      <c r="AI115" s="31" t="s">
        <v>144</v>
      </c>
      <c r="AJ115" s="31" t="s">
        <v>144</v>
      </c>
      <c r="AK115" s="31" t="s">
        <v>144</v>
      </c>
      <c r="AL115" s="31" t="s">
        <v>346</v>
      </c>
      <c r="AM115" s="31" t="s">
        <v>144</v>
      </c>
      <c r="AN115" s="31" t="s">
        <v>164</v>
      </c>
      <c r="AO115" s="31" t="s">
        <v>758</v>
      </c>
      <c r="AP115" s="31" t="s">
        <v>144</v>
      </c>
      <c r="AQ115" s="31" t="s">
        <v>144</v>
      </c>
      <c r="AR115" s="31" t="s">
        <v>144</v>
      </c>
    </row>
    <row r="116" spans="5:44" s="31" customFormat="1" ht="15" customHeight="1" x14ac:dyDescent="0.3">
      <c r="E116" s="31" t="s">
        <v>139</v>
      </c>
      <c r="F116" s="31" t="s">
        <v>564</v>
      </c>
      <c r="G116" s="31" t="s">
        <v>202</v>
      </c>
      <c r="H116" s="31" t="s">
        <v>154</v>
      </c>
      <c r="I116" s="31" t="s">
        <v>594</v>
      </c>
      <c r="J116" s="31" t="s">
        <v>626</v>
      </c>
      <c r="K116" s="31" t="s">
        <v>649</v>
      </c>
      <c r="L116" s="31" t="s">
        <v>660</v>
      </c>
      <c r="M116" s="375" t="s">
        <v>623</v>
      </c>
      <c r="N116" s="375"/>
      <c r="O116" s="31" t="s">
        <v>144</v>
      </c>
      <c r="P116" s="31" t="s">
        <v>144</v>
      </c>
      <c r="Q116" s="31" t="s">
        <v>661</v>
      </c>
      <c r="R116" s="31" t="s">
        <v>335</v>
      </c>
      <c r="S116" s="31" t="s">
        <v>144</v>
      </c>
      <c r="T116" s="31" t="s">
        <v>144</v>
      </c>
      <c r="U116" s="31" t="s">
        <v>144</v>
      </c>
      <c r="V116" s="31" t="s">
        <v>144</v>
      </c>
      <c r="W116" s="31" t="s">
        <v>144</v>
      </c>
      <c r="X116" s="31" t="s">
        <v>144</v>
      </c>
      <c r="Z116" s="33">
        <v>0.96</v>
      </c>
      <c r="AA116" s="31" t="s">
        <v>144</v>
      </c>
      <c r="AB116" s="31" t="s">
        <v>144</v>
      </c>
      <c r="AC116" s="31" t="s">
        <v>144</v>
      </c>
      <c r="AD116" s="31" t="s">
        <v>144</v>
      </c>
      <c r="AE116" s="31" t="s">
        <v>144</v>
      </c>
      <c r="AF116" s="31" t="s">
        <v>144</v>
      </c>
      <c r="AG116" s="31" t="s">
        <v>144</v>
      </c>
      <c r="AH116" s="31" t="s">
        <v>196</v>
      </c>
      <c r="AI116" s="31" t="s">
        <v>144</v>
      </c>
      <c r="AJ116" s="31" t="s">
        <v>144</v>
      </c>
      <c r="AK116" s="31" t="s">
        <v>144</v>
      </c>
      <c r="AL116" s="31" t="s">
        <v>346</v>
      </c>
      <c r="AM116" s="31" t="s">
        <v>144</v>
      </c>
      <c r="AN116" s="31" t="s">
        <v>164</v>
      </c>
      <c r="AO116" s="31" t="s">
        <v>758</v>
      </c>
      <c r="AP116" s="31" t="s">
        <v>144</v>
      </c>
      <c r="AQ116" s="31" t="s">
        <v>144</v>
      </c>
      <c r="AR116" s="31" t="s">
        <v>144</v>
      </c>
    </row>
    <row r="117" spans="5:44" s="31" customFormat="1" ht="15" customHeight="1" x14ac:dyDescent="0.3">
      <c r="E117" s="31" t="s">
        <v>139</v>
      </c>
      <c r="F117" s="31" t="s">
        <v>564</v>
      </c>
      <c r="G117" s="31" t="s">
        <v>202</v>
      </c>
      <c r="H117" s="31" t="s">
        <v>154</v>
      </c>
      <c r="I117" s="31" t="s">
        <v>594</v>
      </c>
      <c r="J117" s="31" t="s">
        <v>626</v>
      </c>
      <c r="K117" s="31" t="s">
        <v>642</v>
      </c>
      <c r="L117" s="31" t="s">
        <v>254</v>
      </c>
      <c r="M117" s="375" t="s">
        <v>650</v>
      </c>
      <c r="N117" s="375"/>
      <c r="O117" s="31" t="s">
        <v>144</v>
      </c>
      <c r="P117" s="31" t="s">
        <v>144</v>
      </c>
      <c r="Q117" s="31" t="s">
        <v>624</v>
      </c>
      <c r="R117" s="31" t="s">
        <v>335</v>
      </c>
      <c r="S117" s="31" t="s">
        <v>144</v>
      </c>
      <c r="T117" s="31" t="s">
        <v>144</v>
      </c>
      <c r="U117" s="31" t="s">
        <v>144</v>
      </c>
      <c r="V117" s="31" t="s">
        <v>144</v>
      </c>
      <c r="W117" s="31" t="s">
        <v>144</v>
      </c>
      <c r="X117" s="31" t="s">
        <v>144</v>
      </c>
      <c r="Z117" s="33">
        <v>0.96</v>
      </c>
      <c r="AA117" s="31" t="s">
        <v>144</v>
      </c>
      <c r="AB117" s="31" t="s">
        <v>144</v>
      </c>
      <c r="AC117" s="31" t="s">
        <v>144</v>
      </c>
      <c r="AD117" s="31" t="s">
        <v>144</v>
      </c>
      <c r="AE117" s="31" t="s">
        <v>144</v>
      </c>
      <c r="AF117" s="31" t="s">
        <v>144</v>
      </c>
      <c r="AG117" s="31" t="s">
        <v>144</v>
      </c>
      <c r="AH117" s="31" t="s">
        <v>196</v>
      </c>
      <c r="AI117" s="31" t="s">
        <v>144</v>
      </c>
      <c r="AJ117" s="31" t="s">
        <v>144</v>
      </c>
      <c r="AK117" s="31" t="s">
        <v>144</v>
      </c>
      <c r="AL117" s="31" t="s">
        <v>346</v>
      </c>
      <c r="AM117" s="31" t="s">
        <v>144</v>
      </c>
      <c r="AN117" s="31" t="s">
        <v>164</v>
      </c>
      <c r="AO117" s="31" t="s">
        <v>758</v>
      </c>
      <c r="AP117" s="31" t="s">
        <v>144</v>
      </c>
      <c r="AQ117" s="31" t="s">
        <v>144</v>
      </c>
      <c r="AR117" s="31" t="s">
        <v>144</v>
      </c>
    </row>
    <row r="118" spans="5:44" s="31" customFormat="1" ht="15" customHeight="1" x14ac:dyDescent="0.3">
      <c r="E118" s="31" t="s">
        <v>139</v>
      </c>
      <c r="F118" s="31" t="s">
        <v>564</v>
      </c>
      <c r="G118" s="31" t="s">
        <v>202</v>
      </c>
      <c r="H118" s="31" t="s">
        <v>154</v>
      </c>
      <c r="I118" s="31" t="s">
        <v>594</v>
      </c>
      <c r="J118" s="31" t="s">
        <v>626</v>
      </c>
      <c r="K118" s="31" t="s">
        <v>643</v>
      </c>
      <c r="L118" s="31" t="s">
        <v>660</v>
      </c>
      <c r="M118" s="375" t="s">
        <v>623</v>
      </c>
      <c r="N118" s="375"/>
      <c r="O118" s="31" t="s">
        <v>144</v>
      </c>
      <c r="P118" s="31" t="s">
        <v>144</v>
      </c>
      <c r="Q118" s="31" t="s">
        <v>661</v>
      </c>
      <c r="R118" s="31" t="s">
        <v>335</v>
      </c>
      <c r="S118" s="31" t="s">
        <v>144</v>
      </c>
      <c r="T118" s="31" t="s">
        <v>144</v>
      </c>
      <c r="U118" s="31" t="s">
        <v>144</v>
      </c>
      <c r="V118" s="31" t="s">
        <v>144</v>
      </c>
      <c r="W118" s="31" t="s">
        <v>144</v>
      </c>
      <c r="X118" s="31" t="s">
        <v>144</v>
      </c>
      <c r="Z118" s="33">
        <v>0.96</v>
      </c>
      <c r="AA118" s="31" t="s">
        <v>144</v>
      </c>
      <c r="AB118" s="31" t="s">
        <v>144</v>
      </c>
      <c r="AC118" s="31" t="s">
        <v>144</v>
      </c>
      <c r="AD118" s="31" t="s">
        <v>144</v>
      </c>
      <c r="AE118" s="31" t="s">
        <v>144</v>
      </c>
      <c r="AF118" s="31" t="s">
        <v>144</v>
      </c>
      <c r="AG118" s="31" t="s">
        <v>144</v>
      </c>
      <c r="AH118" s="31" t="s">
        <v>196</v>
      </c>
      <c r="AI118" s="31" t="s">
        <v>144</v>
      </c>
      <c r="AJ118" s="31" t="s">
        <v>144</v>
      </c>
      <c r="AK118" s="31" t="s">
        <v>144</v>
      </c>
      <c r="AL118" s="31" t="s">
        <v>346</v>
      </c>
      <c r="AM118" s="31" t="s">
        <v>144</v>
      </c>
      <c r="AN118" s="31" t="s">
        <v>164</v>
      </c>
      <c r="AO118" s="31" t="s">
        <v>758</v>
      </c>
      <c r="AP118" s="31" t="s">
        <v>144</v>
      </c>
      <c r="AQ118" s="31" t="s">
        <v>144</v>
      </c>
      <c r="AR118" s="31" t="s">
        <v>144</v>
      </c>
    </row>
    <row r="119" spans="5:44" s="31" customFormat="1" ht="15" customHeight="1" x14ac:dyDescent="0.3">
      <c r="E119" s="31" t="s">
        <v>139</v>
      </c>
      <c r="F119" s="31" t="s">
        <v>564</v>
      </c>
      <c r="G119" s="31" t="s">
        <v>202</v>
      </c>
      <c r="H119" s="31" t="s">
        <v>154</v>
      </c>
      <c r="I119" s="31" t="s">
        <v>594</v>
      </c>
      <c r="J119" s="31" t="s">
        <v>626</v>
      </c>
      <c r="K119" s="31" t="s">
        <v>644</v>
      </c>
      <c r="L119" s="31" t="s">
        <v>254</v>
      </c>
      <c r="M119" s="375" t="s">
        <v>650</v>
      </c>
      <c r="N119" s="375"/>
      <c r="O119" s="31" t="s">
        <v>144</v>
      </c>
      <c r="P119" s="31" t="s">
        <v>144</v>
      </c>
      <c r="Q119" s="31" t="s">
        <v>624</v>
      </c>
      <c r="R119" s="31" t="s">
        <v>335</v>
      </c>
      <c r="S119" s="31" t="s">
        <v>144</v>
      </c>
      <c r="T119" s="31" t="s">
        <v>144</v>
      </c>
      <c r="U119" s="31" t="s">
        <v>144</v>
      </c>
      <c r="V119" s="31" t="s">
        <v>144</v>
      </c>
      <c r="W119" s="31" t="s">
        <v>144</v>
      </c>
      <c r="X119" s="31" t="s">
        <v>144</v>
      </c>
      <c r="Z119" s="33">
        <v>0.96</v>
      </c>
      <c r="AA119" s="31" t="s">
        <v>144</v>
      </c>
      <c r="AB119" s="31" t="s">
        <v>144</v>
      </c>
      <c r="AC119" s="31" t="s">
        <v>144</v>
      </c>
      <c r="AD119" s="31" t="s">
        <v>144</v>
      </c>
      <c r="AE119" s="31" t="s">
        <v>144</v>
      </c>
      <c r="AF119" s="31" t="s">
        <v>144</v>
      </c>
      <c r="AG119" s="31" t="s">
        <v>144</v>
      </c>
      <c r="AH119" s="31" t="s">
        <v>196</v>
      </c>
      <c r="AI119" s="31" t="s">
        <v>144</v>
      </c>
      <c r="AJ119" s="31" t="s">
        <v>144</v>
      </c>
      <c r="AK119" s="31" t="s">
        <v>144</v>
      </c>
      <c r="AL119" s="31" t="s">
        <v>346</v>
      </c>
      <c r="AM119" s="31" t="s">
        <v>144</v>
      </c>
      <c r="AN119" s="31" t="s">
        <v>164</v>
      </c>
      <c r="AO119" s="31" t="s">
        <v>758</v>
      </c>
      <c r="AP119" s="31" t="s">
        <v>144</v>
      </c>
      <c r="AQ119" s="31" t="s">
        <v>144</v>
      </c>
      <c r="AR119" s="31" t="s">
        <v>144</v>
      </c>
    </row>
    <row r="120" spans="5:44" s="31" customFormat="1" ht="15" customHeight="1" x14ac:dyDescent="0.3">
      <c r="E120" s="31" t="s">
        <v>139</v>
      </c>
      <c r="F120" s="31" t="s">
        <v>564</v>
      </c>
      <c r="G120" s="31" t="s">
        <v>202</v>
      </c>
      <c r="H120" s="31" t="s">
        <v>154</v>
      </c>
      <c r="I120" s="31" t="s">
        <v>594</v>
      </c>
      <c r="J120" s="31" t="s">
        <v>626</v>
      </c>
      <c r="K120" s="31" t="s">
        <v>645</v>
      </c>
      <c r="L120" s="31" t="s">
        <v>660</v>
      </c>
      <c r="M120" s="375" t="s">
        <v>623</v>
      </c>
      <c r="N120" s="375"/>
      <c r="O120" s="31" t="s">
        <v>144</v>
      </c>
      <c r="P120" s="31" t="s">
        <v>144</v>
      </c>
      <c r="Q120" s="31" t="s">
        <v>661</v>
      </c>
      <c r="R120" s="31" t="s">
        <v>335</v>
      </c>
      <c r="S120" s="31" t="s">
        <v>144</v>
      </c>
      <c r="T120" s="31" t="s">
        <v>144</v>
      </c>
      <c r="U120" s="31" t="s">
        <v>144</v>
      </c>
      <c r="V120" s="31" t="s">
        <v>144</v>
      </c>
      <c r="W120" s="31" t="s">
        <v>144</v>
      </c>
      <c r="X120" s="31" t="s">
        <v>144</v>
      </c>
      <c r="Z120" s="33">
        <v>0.96</v>
      </c>
      <c r="AA120" s="31" t="s">
        <v>144</v>
      </c>
      <c r="AB120" s="31" t="s">
        <v>144</v>
      </c>
      <c r="AC120" s="31" t="s">
        <v>144</v>
      </c>
      <c r="AD120" s="31" t="s">
        <v>144</v>
      </c>
      <c r="AE120" s="31" t="s">
        <v>144</v>
      </c>
      <c r="AF120" s="31" t="s">
        <v>144</v>
      </c>
      <c r="AG120" s="31" t="s">
        <v>144</v>
      </c>
      <c r="AH120" s="31" t="s">
        <v>196</v>
      </c>
      <c r="AI120" s="31" t="s">
        <v>144</v>
      </c>
      <c r="AJ120" s="31" t="s">
        <v>144</v>
      </c>
      <c r="AK120" s="31" t="s">
        <v>144</v>
      </c>
      <c r="AL120" s="31" t="s">
        <v>346</v>
      </c>
      <c r="AM120" s="31" t="s">
        <v>144</v>
      </c>
      <c r="AN120" s="31" t="s">
        <v>164</v>
      </c>
      <c r="AO120" s="31" t="s">
        <v>758</v>
      </c>
      <c r="AP120" s="31" t="s">
        <v>144</v>
      </c>
      <c r="AQ120" s="31" t="s">
        <v>144</v>
      </c>
      <c r="AR120" s="31" t="s">
        <v>144</v>
      </c>
    </row>
    <row r="121" spans="5:44" s="31" customFormat="1" ht="15" customHeight="1" x14ac:dyDescent="0.3">
      <c r="E121" s="31" t="s">
        <v>139</v>
      </c>
      <c r="F121" s="31" t="s">
        <v>564</v>
      </c>
      <c r="G121" s="31" t="s">
        <v>202</v>
      </c>
      <c r="H121" s="31" t="s">
        <v>154</v>
      </c>
      <c r="I121" s="31" t="s">
        <v>594</v>
      </c>
      <c r="J121" s="31" t="s">
        <v>626</v>
      </c>
      <c r="K121" s="31" t="s">
        <v>646</v>
      </c>
      <c r="L121" s="31" t="s">
        <v>254</v>
      </c>
      <c r="M121" s="375" t="s">
        <v>650</v>
      </c>
      <c r="N121" s="375"/>
      <c r="O121" s="31" t="s">
        <v>144</v>
      </c>
      <c r="P121" s="31" t="s">
        <v>144</v>
      </c>
      <c r="Q121" s="31" t="s">
        <v>624</v>
      </c>
      <c r="R121" s="31" t="s">
        <v>335</v>
      </c>
      <c r="S121" s="31" t="s">
        <v>144</v>
      </c>
      <c r="T121" s="31" t="s">
        <v>144</v>
      </c>
      <c r="U121" s="31" t="s">
        <v>144</v>
      </c>
      <c r="V121" s="31" t="s">
        <v>144</v>
      </c>
      <c r="W121" s="31" t="s">
        <v>144</v>
      </c>
      <c r="X121" s="31" t="s">
        <v>144</v>
      </c>
      <c r="Z121" s="33">
        <v>0.96</v>
      </c>
      <c r="AA121" s="31" t="s">
        <v>144</v>
      </c>
      <c r="AB121" s="31" t="s">
        <v>144</v>
      </c>
      <c r="AC121" s="31" t="s">
        <v>144</v>
      </c>
      <c r="AD121" s="31" t="s">
        <v>144</v>
      </c>
      <c r="AE121" s="31" t="s">
        <v>144</v>
      </c>
      <c r="AF121" s="31" t="s">
        <v>144</v>
      </c>
      <c r="AG121" s="31" t="s">
        <v>144</v>
      </c>
      <c r="AH121" s="31" t="s">
        <v>196</v>
      </c>
      <c r="AI121" s="31" t="s">
        <v>144</v>
      </c>
      <c r="AJ121" s="31" t="s">
        <v>144</v>
      </c>
      <c r="AK121" s="31" t="s">
        <v>144</v>
      </c>
      <c r="AL121" s="31" t="s">
        <v>346</v>
      </c>
      <c r="AM121" s="31" t="s">
        <v>144</v>
      </c>
      <c r="AN121" s="31" t="s">
        <v>164</v>
      </c>
      <c r="AO121" s="31" t="s">
        <v>758</v>
      </c>
      <c r="AP121" s="31" t="s">
        <v>144</v>
      </c>
      <c r="AQ121" s="31" t="s">
        <v>144</v>
      </c>
      <c r="AR121" s="31" t="s">
        <v>144</v>
      </c>
    </row>
    <row r="122" spans="5:44" s="31" customFormat="1" ht="15" customHeight="1" x14ac:dyDescent="0.3">
      <c r="E122" s="31" t="s">
        <v>139</v>
      </c>
      <c r="F122" s="31" t="s">
        <v>564</v>
      </c>
      <c r="G122" s="31" t="s">
        <v>202</v>
      </c>
      <c r="H122" s="31" t="s">
        <v>154</v>
      </c>
      <c r="I122" s="31" t="s">
        <v>594</v>
      </c>
      <c r="J122" s="31" t="s">
        <v>626</v>
      </c>
      <c r="K122" s="31" t="s">
        <v>647</v>
      </c>
      <c r="L122" s="31" t="s">
        <v>660</v>
      </c>
      <c r="M122" s="375" t="s">
        <v>623</v>
      </c>
      <c r="N122" s="375"/>
      <c r="O122" s="31" t="s">
        <v>144</v>
      </c>
      <c r="P122" s="31" t="s">
        <v>144</v>
      </c>
      <c r="Q122" s="31" t="s">
        <v>661</v>
      </c>
      <c r="R122" s="31" t="s">
        <v>335</v>
      </c>
      <c r="S122" s="31" t="s">
        <v>144</v>
      </c>
      <c r="T122" s="31" t="s">
        <v>144</v>
      </c>
      <c r="U122" s="31" t="s">
        <v>144</v>
      </c>
      <c r="V122" s="31" t="s">
        <v>144</v>
      </c>
      <c r="W122" s="31" t="s">
        <v>144</v>
      </c>
      <c r="X122" s="31" t="s">
        <v>144</v>
      </c>
      <c r="Z122" s="33">
        <v>0.96</v>
      </c>
      <c r="AA122" s="31" t="s">
        <v>144</v>
      </c>
      <c r="AB122" s="31" t="s">
        <v>144</v>
      </c>
      <c r="AC122" s="31" t="s">
        <v>144</v>
      </c>
      <c r="AD122" s="31" t="s">
        <v>144</v>
      </c>
      <c r="AE122" s="31" t="s">
        <v>144</v>
      </c>
      <c r="AF122" s="31" t="s">
        <v>144</v>
      </c>
      <c r="AG122" s="31" t="s">
        <v>144</v>
      </c>
      <c r="AH122" s="31" t="s">
        <v>196</v>
      </c>
      <c r="AI122" s="31" t="s">
        <v>144</v>
      </c>
      <c r="AJ122" s="31" t="s">
        <v>144</v>
      </c>
      <c r="AK122" s="31" t="s">
        <v>144</v>
      </c>
      <c r="AL122" s="31" t="s">
        <v>346</v>
      </c>
      <c r="AM122" s="31" t="s">
        <v>144</v>
      </c>
      <c r="AN122" s="31" t="s">
        <v>164</v>
      </c>
      <c r="AO122" s="31" t="s">
        <v>758</v>
      </c>
      <c r="AP122" s="31" t="s">
        <v>144</v>
      </c>
      <c r="AQ122" s="31" t="s">
        <v>144</v>
      </c>
      <c r="AR122" s="31" t="s">
        <v>144</v>
      </c>
    </row>
    <row r="123" spans="5:44" s="31" customFormat="1" ht="15" customHeight="1" x14ac:dyDescent="0.3">
      <c r="E123" s="31" t="s">
        <v>139</v>
      </c>
      <c r="F123" s="31" t="s">
        <v>564</v>
      </c>
      <c r="G123" s="31" t="s">
        <v>202</v>
      </c>
      <c r="H123" s="31" t="s">
        <v>154</v>
      </c>
      <c r="I123" s="31" t="s">
        <v>594</v>
      </c>
      <c r="J123" s="31" t="s">
        <v>627</v>
      </c>
      <c r="K123" s="31" t="s">
        <v>652</v>
      </c>
      <c r="L123" s="31" t="s">
        <v>254</v>
      </c>
      <c r="M123" s="375" t="s">
        <v>651</v>
      </c>
      <c r="N123" s="375"/>
      <c r="O123" s="31" t="s">
        <v>144</v>
      </c>
      <c r="P123" s="31" t="s">
        <v>144</v>
      </c>
      <c r="Q123" s="31" t="s">
        <v>624</v>
      </c>
      <c r="R123" s="31" t="s">
        <v>335</v>
      </c>
      <c r="S123" s="31" t="s">
        <v>144</v>
      </c>
      <c r="T123" s="31" t="s">
        <v>144</v>
      </c>
      <c r="U123" s="31" t="s">
        <v>144</v>
      </c>
      <c r="V123" s="31" t="s">
        <v>144</v>
      </c>
      <c r="W123" s="31" t="s">
        <v>144</v>
      </c>
      <c r="X123" s="31" t="s">
        <v>144</v>
      </c>
      <c r="Z123" s="33">
        <v>0.96</v>
      </c>
      <c r="AA123" s="31" t="s">
        <v>144</v>
      </c>
      <c r="AB123" s="31" t="s">
        <v>144</v>
      </c>
      <c r="AC123" s="31" t="s">
        <v>144</v>
      </c>
      <c r="AD123" s="31" t="s">
        <v>144</v>
      </c>
      <c r="AE123" s="31" t="s">
        <v>144</v>
      </c>
      <c r="AF123" s="31" t="s">
        <v>144</v>
      </c>
      <c r="AG123" s="31" t="s">
        <v>144</v>
      </c>
      <c r="AH123" s="31" t="s">
        <v>196</v>
      </c>
      <c r="AI123" s="31" t="s">
        <v>144</v>
      </c>
      <c r="AJ123" s="31" t="s">
        <v>144</v>
      </c>
      <c r="AK123" s="31" t="s">
        <v>144</v>
      </c>
      <c r="AL123" s="31" t="s">
        <v>346</v>
      </c>
      <c r="AM123" s="31" t="s">
        <v>144</v>
      </c>
      <c r="AN123" s="31" t="s">
        <v>164</v>
      </c>
      <c r="AO123" s="31" t="s">
        <v>758</v>
      </c>
      <c r="AP123" s="31" t="s">
        <v>144</v>
      </c>
      <c r="AQ123" s="31" t="s">
        <v>144</v>
      </c>
      <c r="AR123" s="31" t="s">
        <v>144</v>
      </c>
    </row>
    <row r="124" spans="5:44" s="31" customFormat="1" ht="15" customHeight="1" x14ac:dyDescent="0.3">
      <c r="E124" s="31" t="s">
        <v>139</v>
      </c>
      <c r="F124" s="31" t="s">
        <v>564</v>
      </c>
      <c r="G124" s="31" t="s">
        <v>202</v>
      </c>
      <c r="H124" s="31" t="s">
        <v>154</v>
      </c>
      <c r="I124" s="31" t="s">
        <v>594</v>
      </c>
      <c r="J124" s="31" t="s">
        <v>627</v>
      </c>
      <c r="K124" s="31" t="s">
        <v>653</v>
      </c>
      <c r="L124" s="31" t="s">
        <v>660</v>
      </c>
      <c r="M124" s="375" t="s">
        <v>623</v>
      </c>
      <c r="N124" s="375"/>
      <c r="O124" s="31" t="s">
        <v>144</v>
      </c>
      <c r="P124" s="31" t="s">
        <v>144</v>
      </c>
      <c r="Q124" s="31" t="s">
        <v>661</v>
      </c>
      <c r="R124" s="31" t="s">
        <v>335</v>
      </c>
      <c r="S124" s="31" t="s">
        <v>144</v>
      </c>
      <c r="T124" s="31" t="s">
        <v>144</v>
      </c>
      <c r="U124" s="31" t="s">
        <v>144</v>
      </c>
      <c r="V124" s="31" t="s">
        <v>144</v>
      </c>
      <c r="W124" s="31" t="s">
        <v>144</v>
      </c>
      <c r="X124" s="31" t="s">
        <v>144</v>
      </c>
      <c r="Z124" s="33">
        <v>0.96</v>
      </c>
      <c r="AA124" s="31" t="s">
        <v>144</v>
      </c>
      <c r="AB124" s="31" t="s">
        <v>144</v>
      </c>
      <c r="AC124" s="31" t="s">
        <v>144</v>
      </c>
      <c r="AD124" s="31" t="s">
        <v>144</v>
      </c>
      <c r="AE124" s="31" t="s">
        <v>144</v>
      </c>
      <c r="AF124" s="31" t="s">
        <v>144</v>
      </c>
      <c r="AG124" s="31" t="s">
        <v>144</v>
      </c>
      <c r="AH124" s="31" t="s">
        <v>196</v>
      </c>
      <c r="AI124" s="31" t="s">
        <v>144</v>
      </c>
      <c r="AJ124" s="31" t="s">
        <v>144</v>
      </c>
      <c r="AK124" s="31" t="s">
        <v>144</v>
      </c>
      <c r="AL124" s="31" t="s">
        <v>346</v>
      </c>
      <c r="AM124" s="31" t="s">
        <v>144</v>
      </c>
      <c r="AN124" s="31" t="s">
        <v>164</v>
      </c>
      <c r="AO124" s="31" t="s">
        <v>758</v>
      </c>
      <c r="AP124" s="31" t="s">
        <v>144</v>
      </c>
      <c r="AQ124" s="31" t="s">
        <v>144</v>
      </c>
      <c r="AR124" s="31" t="s">
        <v>144</v>
      </c>
    </row>
    <row r="125" spans="5:44" s="31" customFormat="1" ht="15" customHeight="1" x14ac:dyDescent="0.3">
      <c r="E125" s="31" t="s">
        <v>139</v>
      </c>
      <c r="F125" s="31" t="s">
        <v>564</v>
      </c>
      <c r="G125" s="31" t="s">
        <v>202</v>
      </c>
      <c r="H125" s="31" t="s">
        <v>154</v>
      </c>
      <c r="I125" s="31" t="s">
        <v>594</v>
      </c>
      <c r="J125" s="31" t="s">
        <v>627</v>
      </c>
      <c r="K125" s="31" t="s">
        <v>654</v>
      </c>
      <c r="L125" s="31" t="s">
        <v>254</v>
      </c>
      <c r="M125" s="375" t="s">
        <v>651</v>
      </c>
      <c r="N125" s="375"/>
      <c r="O125" s="31" t="s">
        <v>144</v>
      </c>
      <c r="P125" s="31" t="s">
        <v>144</v>
      </c>
      <c r="Q125" s="31" t="s">
        <v>624</v>
      </c>
      <c r="R125" s="31" t="s">
        <v>335</v>
      </c>
      <c r="S125" s="31" t="s">
        <v>144</v>
      </c>
      <c r="T125" s="31" t="s">
        <v>144</v>
      </c>
      <c r="U125" s="31" t="s">
        <v>144</v>
      </c>
      <c r="V125" s="31" t="s">
        <v>144</v>
      </c>
      <c r="W125" s="31" t="s">
        <v>144</v>
      </c>
      <c r="X125" s="31" t="s">
        <v>144</v>
      </c>
      <c r="Z125" s="33">
        <v>0.96</v>
      </c>
      <c r="AA125" s="31" t="s">
        <v>144</v>
      </c>
      <c r="AB125" s="31" t="s">
        <v>144</v>
      </c>
      <c r="AC125" s="31" t="s">
        <v>144</v>
      </c>
      <c r="AD125" s="31" t="s">
        <v>144</v>
      </c>
      <c r="AE125" s="31" t="s">
        <v>144</v>
      </c>
      <c r="AF125" s="31" t="s">
        <v>144</v>
      </c>
      <c r="AG125" s="31" t="s">
        <v>144</v>
      </c>
      <c r="AH125" s="31" t="s">
        <v>196</v>
      </c>
      <c r="AI125" s="31" t="s">
        <v>144</v>
      </c>
      <c r="AJ125" s="31" t="s">
        <v>144</v>
      </c>
      <c r="AK125" s="31" t="s">
        <v>144</v>
      </c>
      <c r="AL125" s="31" t="s">
        <v>346</v>
      </c>
      <c r="AM125" s="31" t="s">
        <v>144</v>
      </c>
      <c r="AN125" s="31" t="s">
        <v>164</v>
      </c>
      <c r="AO125" s="31" t="s">
        <v>758</v>
      </c>
      <c r="AP125" s="31" t="s">
        <v>144</v>
      </c>
      <c r="AQ125" s="31" t="s">
        <v>144</v>
      </c>
      <c r="AR125" s="31" t="s">
        <v>144</v>
      </c>
    </row>
    <row r="126" spans="5:44" s="31" customFormat="1" ht="15" customHeight="1" x14ac:dyDescent="0.3">
      <c r="E126" s="31" t="s">
        <v>139</v>
      </c>
      <c r="F126" s="31" t="s">
        <v>564</v>
      </c>
      <c r="G126" s="31" t="s">
        <v>202</v>
      </c>
      <c r="H126" s="31" t="s">
        <v>154</v>
      </c>
      <c r="I126" s="31" t="s">
        <v>594</v>
      </c>
      <c r="J126" s="31" t="s">
        <v>627</v>
      </c>
      <c r="K126" s="31" t="s">
        <v>655</v>
      </c>
      <c r="L126" s="31" t="s">
        <v>660</v>
      </c>
      <c r="M126" s="375" t="s">
        <v>623</v>
      </c>
      <c r="N126" s="375"/>
      <c r="O126" s="31" t="s">
        <v>144</v>
      </c>
      <c r="P126" s="31" t="s">
        <v>144</v>
      </c>
      <c r="Q126" s="31" t="s">
        <v>661</v>
      </c>
      <c r="R126" s="31" t="s">
        <v>335</v>
      </c>
      <c r="S126" s="31" t="s">
        <v>144</v>
      </c>
      <c r="T126" s="31" t="s">
        <v>144</v>
      </c>
      <c r="U126" s="31" t="s">
        <v>144</v>
      </c>
      <c r="V126" s="31" t="s">
        <v>144</v>
      </c>
      <c r="W126" s="31" t="s">
        <v>144</v>
      </c>
      <c r="X126" s="31" t="s">
        <v>144</v>
      </c>
      <c r="Z126" s="33">
        <v>0.96</v>
      </c>
      <c r="AA126" s="31" t="s">
        <v>144</v>
      </c>
      <c r="AB126" s="31" t="s">
        <v>144</v>
      </c>
      <c r="AC126" s="31" t="s">
        <v>144</v>
      </c>
      <c r="AD126" s="31" t="s">
        <v>144</v>
      </c>
      <c r="AE126" s="31" t="s">
        <v>144</v>
      </c>
      <c r="AF126" s="31" t="s">
        <v>144</v>
      </c>
      <c r="AG126" s="31" t="s">
        <v>144</v>
      </c>
      <c r="AH126" s="31" t="s">
        <v>196</v>
      </c>
      <c r="AI126" s="31" t="s">
        <v>144</v>
      </c>
      <c r="AJ126" s="31" t="s">
        <v>144</v>
      </c>
      <c r="AK126" s="31" t="s">
        <v>144</v>
      </c>
      <c r="AL126" s="31" t="s">
        <v>346</v>
      </c>
      <c r="AM126" s="31" t="s">
        <v>144</v>
      </c>
      <c r="AN126" s="31" t="s">
        <v>164</v>
      </c>
      <c r="AO126" s="31" t="s">
        <v>758</v>
      </c>
      <c r="AP126" s="31" t="s">
        <v>144</v>
      </c>
      <c r="AQ126" s="31" t="s">
        <v>144</v>
      </c>
      <c r="AR126" s="31" t="s">
        <v>144</v>
      </c>
    </row>
    <row r="127" spans="5:44" s="31" customFormat="1" ht="15" customHeight="1" x14ac:dyDescent="0.3">
      <c r="E127" s="31" t="s">
        <v>139</v>
      </c>
      <c r="F127" s="31" t="s">
        <v>564</v>
      </c>
      <c r="G127" s="31" t="s">
        <v>202</v>
      </c>
      <c r="H127" s="31" t="s">
        <v>154</v>
      </c>
      <c r="I127" s="31" t="s">
        <v>594</v>
      </c>
      <c r="J127" s="31" t="s">
        <v>627</v>
      </c>
      <c r="K127" s="31" t="s">
        <v>656</v>
      </c>
      <c r="L127" s="31" t="s">
        <v>254</v>
      </c>
      <c r="M127" s="375" t="s">
        <v>651</v>
      </c>
      <c r="N127" s="375"/>
      <c r="O127" s="31" t="s">
        <v>144</v>
      </c>
      <c r="P127" s="31" t="s">
        <v>144</v>
      </c>
      <c r="Q127" s="31" t="s">
        <v>624</v>
      </c>
      <c r="R127" s="31" t="s">
        <v>335</v>
      </c>
      <c r="S127" s="31" t="s">
        <v>144</v>
      </c>
      <c r="T127" s="31" t="s">
        <v>144</v>
      </c>
      <c r="U127" s="31" t="s">
        <v>144</v>
      </c>
      <c r="V127" s="31" t="s">
        <v>144</v>
      </c>
      <c r="W127" s="31" t="s">
        <v>144</v>
      </c>
      <c r="X127" s="31" t="s">
        <v>144</v>
      </c>
      <c r="Z127" s="33">
        <v>0.96</v>
      </c>
      <c r="AA127" s="31" t="s">
        <v>144</v>
      </c>
      <c r="AB127" s="31" t="s">
        <v>144</v>
      </c>
      <c r="AC127" s="31" t="s">
        <v>144</v>
      </c>
      <c r="AD127" s="31" t="s">
        <v>144</v>
      </c>
      <c r="AE127" s="31" t="s">
        <v>144</v>
      </c>
      <c r="AF127" s="31" t="s">
        <v>144</v>
      </c>
      <c r="AG127" s="31" t="s">
        <v>144</v>
      </c>
      <c r="AH127" s="31" t="s">
        <v>196</v>
      </c>
      <c r="AI127" s="31" t="s">
        <v>144</v>
      </c>
      <c r="AJ127" s="31" t="s">
        <v>144</v>
      </c>
      <c r="AK127" s="31" t="s">
        <v>144</v>
      </c>
      <c r="AL127" s="31" t="s">
        <v>346</v>
      </c>
      <c r="AM127" s="31" t="s">
        <v>144</v>
      </c>
      <c r="AN127" s="31" t="s">
        <v>164</v>
      </c>
      <c r="AO127" s="31" t="s">
        <v>758</v>
      </c>
      <c r="AP127" s="31" t="s">
        <v>144</v>
      </c>
      <c r="AQ127" s="31" t="s">
        <v>144</v>
      </c>
      <c r="AR127" s="31" t="s">
        <v>144</v>
      </c>
    </row>
    <row r="128" spans="5:44" s="31" customFormat="1" ht="15" customHeight="1" x14ac:dyDescent="0.3">
      <c r="E128" s="31" t="s">
        <v>139</v>
      </c>
      <c r="F128" s="31" t="s">
        <v>564</v>
      </c>
      <c r="G128" s="31" t="s">
        <v>202</v>
      </c>
      <c r="H128" s="31" t="s">
        <v>154</v>
      </c>
      <c r="I128" s="31" t="s">
        <v>594</v>
      </c>
      <c r="J128" s="31" t="s">
        <v>627</v>
      </c>
      <c r="K128" s="31" t="s">
        <v>657</v>
      </c>
      <c r="L128" s="31" t="s">
        <v>660</v>
      </c>
      <c r="M128" s="375" t="s">
        <v>651</v>
      </c>
      <c r="N128" s="375"/>
      <c r="O128" s="31" t="s">
        <v>144</v>
      </c>
      <c r="P128" s="31" t="s">
        <v>144</v>
      </c>
      <c r="Q128" s="31" t="s">
        <v>661</v>
      </c>
      <c r="R128" s="31" t="s">
        <v>335</v>
      </c>
      <c r="S128" s="31" t="s">
        <v>144</v>
      </c>
      <c r="T128" s="31" t="s">
        <v>144</v>
      </c>
      <c r="U128" s="31" t="s">
        <v>144</v>
      </c>
      <c r="V128" s="31" t="s">
        <v>144</v>
      </c>
      <c r="W128" s="31" t="s">
        <v>144</v>
      </c>
      <c r="X128" s="31" t="s">
        <v>144</v>
      </c>
      <c r="Z128" s="33">
        <v>0.96</v>
      </c>
      <c r="AA128" s="31" t="s">
        <v>144</v>
      </c>
      <c r="AB128" s="31" t="s">
        <v>144</v>
      </c>
      <c r="AC128" s="31" t="s">
        <v>144</v>
      </c>
      <c r="AD128" s="31" t="s">
        <v>144</v>
      </c>
      <c r="AE128" s="31" t="s">
        <v>144</v>
      </c>
      <c r="AF128" s="31" t="s">
        <v>144</v>
      </c>
      <c r="AG128" s="31" t="s">
        <v>144</v>
      </c>
      <c r="AH128" s="31" t="s">
        <v>196</v>
      </c>
      <c r="AI128" s="31" t="s">
        <v>144</v>
      </c>
      <c r="AJ128" s="31" t="s">
        <v>144</v>
      </c>
      <c r="AK128" s="31" t="s">
        <v>144</v>
      </c>
      <c r="AL128" s="31" t="s">
        <v>346</v>
      </c>
      <c r="AM128" s="31" t="s">
        <v>144</v>
      </c>
      <c r="AN128" s="31" t="s">
        <v>164</v>
      </c>
      <c r="AO128" s="31" t="s">
        <v>758</v>
      </c>
      <c r="AP128" s="31" t="s">
        <v>144</v>
      </c>
      <c r="AQ128" s="31" t="s">
        <v>144</v>
      </c>
      <c r="AR128" s="31" t="s">
        <v>144</v>
      </c>
    </row>
    <row r="129" spans="5:44" s="31" customFormat="1" ht="15" customHeight="1" x14ac:dyDescent="0.3">
      <c r="E129" s="31" t="s">
        <v>139</v>
      </c>
      <c r="F129" s="31" t="s">
        <v>564</v>
      </c>
      <c r="G129" s="31" t="s">
        <v>202</v>
      </c>
      <c r="H129" s="31" t="s">
        <v>154</v>
      </c>
      <c r="I129" s="31" t="s">
        <v>594</v>
      </c>
      <c r="J129" s="31" t="s">
        <v>627</v>
      </c>
      <c r="K129" s="31" t="s">
        <v>658</v>
      </c>
      <c r="L129" s="31" t="s">
        <v>254</v>
      </c>
      <c r="M129" s="375" t="s">
        <v>651</v>
      </c>
      <c r="N129" s="375"/>
      <c r="O129" s="31" t="s">
        <v>144</v>
      </c>
      <c r="P129" s="31" t="s">
        <v>144</v>
      </c>
      <c r="Q129" s="31" t="s">
        <v>624</v>
      </c>
      <c r="R129" s="31" t="s">
        <v>335</v>
      </c>
      <c r="S129" s="31" t="s">
        <v>144</v>
      </c>
      <c r="T129" s="31" t="s">
        <v>144</v>
      </c>
      <c r="U129" s="31" t="s">
        <v>144</v>
      </c>
      <c r="V129" s="31" t="s">
        <v>144</v>
      </c>
      <c r="W129" s="31" t="s">
        <v>144</v>
      </c>
      <c r="X129" s="31" t="s">
        <v>144</v>
      </c>
      <c r="Z129" s="33">
        <v>0.96</v>
      </c>
      <c r="AA129" s="31" t="s">
        <v>144</v>
      </c>
      <c r="AB129" s="31" t="s">
        <v>144</v>
      </c>
      <c r="AC129" s="31" t="s">
        <v>144</v>
      </c>
      <c r="AD129" s="31" t="s">
        <v>144</v>
      </c>
      <c r="AE129" s="31" t="s">
        <v>144</v>
      </c>
      <c r="AF129" s="31" t="s">
        <v>144</v>
      </c>
      <c r="AG129" s="31" t="s">
        <v>144</v>
      </c>
      <c r="AH129" s="31" t="s">
        <v>196</v>
      </c>
      <c r="AI129" s="31" t="s">
        <v>144</v>
      </c>
      <c r="AJ129" s="31" t="s">
        <v>144</v>
      </c>
      <c r="AK129" s="31" t="s">
        <v>144</v>
      </c>
      <c r="AL129" s="31" t="s">
        <v>346</v>
      </c>
      <c r="AM129" s="31" t="s">
        <v>144</v>
      </c>
      <c r="AN129" s="31" t="s">
        <v>164</v>
      </c>
      <c r="AO129" s="31" t="s">
        <v>758</v>
      </c>
      <c r="AP129" s="31" t="s">
        <v>144</v>
      </c>
      <c r="AQ129" s="31" t="s">
        <v>144</v>
      </c>
      <c r="AR129" s="31" t="s">
        <v>144</v>
      </c>
    </row>
    <row r="130" spans="5:44" s="31" customFormat="1" ht="15" customHeight="1" x14ac:dyDescent="0.3">
      <c r="E130" s="31" t="s">
        <v>139</v>
      </c>
      <c r="F130" s="31" t="s">
        <v>564</v>
      </c>
      <c r="G130" s="31" t="s">
        <v>202</v>
      </c>
      <c r="H130" s="31" t="s">
        <v>154</v>
      </c>
      <c r="I130" s="31" t="s">
        <v>594</v>
      </c>
      <c r="J130" s="31" t="s">
        <v>627</v>
      </c>
      <c r="K130" s="31" t="s">
        <v>659</v>
      </c>
      <c r="L130" s="31" t="s">
        <v>660</v>
      </c>
      <c r="M130" s="375" t="s">
        <v>651</v>
      </c>
      <c r="N130" s="375"/>
      <c r="O130" s="31" t="s">
        <v>144</v>
      </c>
      <c r="P130" s="31" t="s">
        <v>144</v>
      </c>
      <c r="Q130" s="31" t="s">
        <v>661</v>
      </c>
      <c r="R130" s="31" t="s">
        <v>335</v>
      </c>
      <c r="S130" s="31" t="s">
        <v>144</v>
      </c>
      <c r="T130" s="31" t="s">
        <v>144</v>
      </c>
      <c r="U130" s="31" t="s">
        <v>144</v>
      </c>
      <c r="V130" s="31" t="s">
        <v>144</v>
      </c>
      <c r="W130" s="31" t="s">
        <v>144</v>
      </c>
      <c r="X130" s="31" t="s">
        <v>144</v>
      </c>
      <c r="Z130" s="33">
        <v>0.96</v>
      </c>
      <c r="AA130" s="31" t="s">
        <v>144</v>
      </c>
      <c r="AB130" s="31" t="s">
        <v>144</v>
      </c>
      <c r="AC130" s="31" t="s">
        <v>144</v>
      </c>
      <c r="AD130" s="31" t="s">
        <v>144</v>
      </c>
      <c r="AE130" s="31" t="s">
        <v>144</v>
      </c>
      <c r="AF130" s="31" t="s">
        <v>144</v>
      </c>
      <c r="AG130" s="31" t="s">
        <v>144</v>
      </c>
      <c r="AH130" s="31" t="s">
        <v>196</v>
      </c>
      <c r="AI130" s="31" t="s">
        <v>144</v>
      </c>
      <c r="AJ130" s="31" t="s">
        <v>144</v>
      </c>
      <c r="AK130" s="31" t="s">
        <v>144</v>
      </c>
      <c r="AL130" s="31" t="s">
        <v>346</v>
      </c>
      <c r="AM130" s="31" t="s">
        <v>144</v>
      </c>
      <c r="AN130" s="31" t="s">
        <v>164</v>
      </c>
      <c r="AO130" s="31" t="s">
        <v>758</v>
      </c>
      <c r="AP130" s="31" t="s">
        <v>144</v>
      </c>
      <c r="AQ130" s="31" t="s">
        <v>144</v>
      </c>
      <c r="AR130" s="31" t="s">
        <v>144</v>
      </c>
    </row>
    <row r="131" spans="5:44" s="31" customFormat="1" ht="15" customHeight="1" x14ac:dyDescent="0.3">
      <c r="M131" s="375"/>
      <c r="N131" s="375"/>
    </row>
    <row r="132" spans="5:44" s="31" customFormat="1" ht="15" customHeight="1" x14ac:dyDescent="0.3">
      <c r="E132" s="31" t="s">
        <v>287</v>
      </c>
      <c r="F132" s="31" t="s">
        <v>140</v>
      </c>
      <c r="G132" s="31" t="s">
        <v>157</v>
      </c>
      <c r="H132" s="31" t="s">
        <v>279</v>
      </c>
      <c r="I132" s="31" t="s">
        <v>594</v>
      </c>
      <c r="J132" s="31" t="s">
        <v>663</v>
      </c>
      <c r="K132" s="31" t="s">
        <v>664</v>
      </c>
      <c r="L132" s="31" t="s">
        <v>254</v>
      </c>
      <c r="M132" s="375" t="s">
        <v>690</v>
      </c>
      <c r="N132" s="375"/>
      <c r="O132" s="31" t="s">
        <v>144</v>
      </c>
      <c r="P132" s="31" t="s">
        <v>144</v>
      </c>
      <c r="Q132" s="31" t="s">
        <v>277</v>
      </c>
      <c r="R132" s="31" t="s">
        <v>570</v>
      </c>
      <c r="S132" s="31" t="s">
        <v>144</v>
      </c>
      <c r="T132" s="31" t="s">
        <v>144</v>
      </c>
      <c r="U132" s="31" t="s">
        <v>144</v>
      </c>
      <c r="V132" s="31" t="s">
        <v>144</v>
      </c>
      <c r="W132" s="31" t="s">
        <v>144</v>
      </c>
      <c r="X132" s="31" t="s">
        <v>144</v>
      </c>
      <c r="Z132" s="31" t="s">
        <v>144</v>
      </c>
      <c r="AA132" s="31">
        <v>17.399999999999999</v>
      </c>
      <c r="AB132" s="380">
        <v>16</v>
      </c>
      <c r="AC132" s="380">
        <v>0.9</v>
      </c>
      <c r="AD132" s="380">
        <v>0.5</v>
      </c>
      <c r="AE132" s="31">
        <v>1.3</v>
      </c>
      <c r="AF132" s="31">
        <v>28</v>
      </c>
      <c r="AG132" s="31" t="s">
        <v>144</v>
      </c>
      <c r="AH132" s="31" t="s">
        <v>144</v>
      </c>
      <c r="AI132" s="31" t="s">
        <v>144</v>
      </c>
      <c r="AJ132" s="31" t="s">
        <v>144</v>
      </c>
      <c r="AK132" s="31" t="s">
        <v>144</v>
      </c>
      <c r="AL132" s="31" t="s">
        <v>350</v>
      </c>
      <c r="AM132" s="31" t="s">
        <v>144</v>
      </c>
      <c r="AN132" s="31" t="s">
        <v>697</v>
      </c>
      <c r="AO132" s="31" t="s">
        <v>696</v>
      </c>
      <c r="AP132" s="31" t="s">
        <v>144</v>
      </c>
      <c r="AQ132" s="31" t="s">
        <v>144</v>
      </c>
      <c r="AR132" s="31" t="s">
        <v>144</v>
      </c>
    </row>
    <row r="133" spans="5:44" s="31" customFormat="1" ht="15" customHeight="1" x14ac:dyDescent="0.3">
      <c r="E133" s="31" t="s">
        <v>287</v>
      </c>
      <c r="F133" s="31" t="s">
        <v>140</v>
      </c>
      <c r="G133" s="31" t="s">
        <v>157</v>
      </c>
      <c r="H133" s="31" t="s">
        <v>279</v>
      </c>
      <c r="I133" s="31" t="s">
        <v>594</v>
      </c>
      <c r="J133" s="31" t="s">
        <v>663</v>
      </c>
      <c r="K133" s="31" t="s">
        <v>666</v>
      </c>
      <c r="L133" s="31" t="s">
        <v>254</v>
      </c>
      <c r="M133" s="375" t="s">
        <v>690</v>
      </c>
      <c r="N133" s="375"/>
      <c r="O133" s="31" t="s">
        <v>144</v>
      </c>
      <c r="P133" s="31" t="s">
        <v>144</v>
      </c>
      <c r="Q133" s="31" t="s">
        <v>277</v>
      </c>
      <c r="R133" s="31" t="s">
        <v>570</v>
      </c>
      <c r="S133" s="31" t="s">
        <v>144</v>
      </c>
      <c r="T133" s="31" t="s">
        <v>144</v>
      </c>
      <c r="U133" s="31" t="s">
        <v>144</v>
      </c>
      <c r="V133" s="31" t="s">
        <v>144</v>
      </c>
      <c r="W133" s="31" t="s">
        <v>144</v>
      </c>
      <c r="X133" s="31" t="s">
        <v>144</v>
      </c>
      <c r="Z133" s="31" t="s">
        <v>144</v>
      </c>
      <c r="AA133" s="31">
        <v>17.399999999999999</v>
      </c>
      <c r="AB133" s="380">
        <v>16</v>
      </c>
      <c r="AC133" s="380">
        <v>0.9</v>
      </c>
      <c r="AD133" s="380">
        <v>0.5</v>
      </c>
      <c r="AE133" s="31">
        <v>1.3</v>
      </c>
      <c r="AF133" s="31">
        <v>28</v>
      </c>
      <c r="AG133" s="31" t="s">
        <v>144</v>
      </c>
      <c r="AH133" s="31" t="s">
        <v>144</v>
      </c>
      <c r="AI133" s="31" t="s">
        <v>144</v>
      </c>
      <c r="AJ133" s="31" t="s">
        <v>144</v>
      </c>
      <c r="AK133" s="31" t="s">
        <v>144</v>
      </c>
      <c r="AL133" s="31" t="s">
        <v>350</v>
      </c>
      <c r="AM133" s="31" t="s">
        <v>144</v>
      </c>
      <c r="AN133" s="31" t="s">
        <v>697</v>
      </c>
      <c r="AO133" s="31" t="s">
        <v>696</v>
      </c>
      <c r="AP133" s="31" t="s">
        <v>144</v>
      </c>
      <c r="AQ133" s="31" t="s">
        <v>144</v>
      </c>
      <c r="AR133" s="31" t="s">
        <v>144</v>
      </c>
    </row>
    <row r="134" spans="5:44" s="31" customFormat="1" ht="15" customHeight="1" x14ac:dyDescent="0.3">
      <c r="E134" s="31" t="s">
        <v>287</v>
      </c>
      <c r="F134" s="31" t="s">
        <v>140</v>
      </c>
      <c r="G134" s="31" t="s">
        <v>157</v>
      </c>
      <c r="H134" s="31" t="s">
        <v>279</v>
      </c>
      <c r="I134" s="31" t="s">
        <v>594</v>
      </c>
      <c r="J134" s="31" t="s">
        <v>663</v>
      </c>
      <c r="K134" s="31" t="s">
        <v>667</v>
      </c>
      <c r="L134" s="31" t="s">
        <v>254</v>
      </c>
      <c r="M134" s="375" t="s">
        <v>690</v>
      </c>
      <c r="N134" s="375"/>
      <c r="O134" s="31" t="s">
        <v>144</v>
      </c>
      <c r="P134" s="31" t="s">
        <v>144</v>
      </c>
      <c r="Q134" s="31" t="s">
        <v>277</v>
      </c>
      <c r="R134" s="31" t="s">
        <v>570</v>
      </c>
      <c r="S134" s="31" t="s">
        <v>144</v>
      </c>
      <c r="T134" s="31" t="s">
        <v>144</v>
      </c>
      <c r="U134" s="31" t="s">
        <v>144</v>
      </c>
      <c r="V134" s="31" t="s">
        <v>144</v>
      </c>
      <c r="W134" s="31" t="s">
        <v>144</v>
      </c>
      <c r="X134" s="31" t="s">
        <v>144</v>
      </c>
      <c r="Z134" s="31" t="s">
        <v>144</v>
      </c>
      <c r="AA134" s="31">
        <v>17.399999999999999</v>
      </c>
      <c r="AB134" s="380">
        <v>16</v>
      </c>
      <c r="AC134" s="380">
        <v>0.9</v>
      </c>
      <c r="AD134" s="380">
        <v>0.5</v>
      </c>
      <c r="AE134" s="31">
        <v>1.3</v>
      </c>
      <c r="AF134" s="31">
        <v>28</v>
      </c>
      <c r="AG134" s="31" t="s">
        <v>144</v>
      </c>
      <c r="AH134" s="31" t="s">
        <v>144</v>
      </c>
      <c r="AI134" s="31" t="s">
        <v>144</v>
      </c>
      <c r="AJ134" s="31" t="s">
        <v>144</v>
      </c>
      <c r="AK134" s="31" t="s">
        <v>144</v>
      </c>
      <c r="AL134" s="31" t="s">
        <v>350</v>
      </c>
      <c r="AM134" s="31" t="s">
        <v>144</v>
      </c>
      <c r="AN134" s="31" t="s">
        <v>697</v>
      </c>
      <c r="AO134" s="31" t="s">
        <v>696</v>
      </c>
      <c r="AP134" s="31" t="s">
        <v>144</v>
      </c>
      <c r="AQ134" s="31" t="s">
        <v>144</v>
      </c>
      <c r="AR134" s="31" t="s">
        <v>144</v>
      </c>
    </row>
    <row r="135" spans="5:44" s="31" customFormat="1" ht="15" customHeight="1" x14ac:dyDescent="0.3">
      <c r="E135" s="31" t="s">
        <v>287</v>
      </c>
      <c r="F135" s="31" t="s">
        <v>140</v>
      </c>
      <c r="G135" s="31" t="s">
        <v>157</v>
      </c>
      <c r="H135" s="31" t="s">
        <v>279</v>
      </c>
      <c r="I135" s="31" t="s">
        <v>594</v>
      </c>
      <c r="J135" s="31" t="s">
        <v>668</v>
      </c>
      <c r="K135" s="31" t="s">
        <v>669</v>
      </c>
      <c r="L135" s="31" t="s">
        <v>254</v>
      </c>
      <c r="M135" s="375" t="s">
        <v>691</v>
      </c>
      <c r="N135" s="375"/>
      <c r="O135" s="31" t="s">
        <v>144</v>
      </c>
      <c r="P135" s="31" t="s">
        <v>144</v>
      </c>
      <c r="Q135" s="31" t="s">
        <v>277</v>
      </c>
      <c r="R135" s="31" t="s">
        <v>570</v>
      </c>
      <c r="S135" s="31" t="s">
        <v>144</v>
      </c>
      <c r="T135" s="31" t="s">
        <v>144</v>
      </c>
      <c r="U135" s="31" t="s">
        <v>144</v>
      </c>
      <c r="V135" s="31" t="s">
        <v>144</v>
      </c>
      <c r="W135" s="31" t="s">
        <v>144</v>
      </c>
      <c r="X135" s="31" t="s">
        <v>144</v>
      </c>
      <c r="Z135" s="31" t="s">
        <v>144</v>
      </c>
      <c r="AA135" s="31">
        <v>17.399999999999999</v>
      </c>
      <c r="AB135" s="380">
        <v>16</v>
      </c>
      <c r="AC135" s="380">
        <v>0.9</v>
      </c>
      <c r="AD135" s="380">
        <v>0.5</v>
      </c>
      <c r="AE135" s="31">
        <v>1.3</v>
      </c>
      <c r="AF135" s="31">
        <v>28</v>
      </c>
      <c r="AG135" s="31" t="s">
        <v>144</v>
      </c>
      <c r="AH135" s="31" t="s">
        <v>144</v>
      </c>
      <c r="AI135" s="31" t="s">
        <v>144</v>
      </c>
      <c r="AJ135" s="31" t="s">
        <v>144</v>
      </c>
      <c r="AK135" s="31" t="s">
        <v>144</v>
      </c>
      <c r="AL135" s="31" t="s">
        <v>350</v>
      </c>
      <c r="AM135" s="31" t="s">
        <v>144</v>
      </c>
      <c r="AN135" s="31" t="s">
        <v>697</v>
      </c>
      <c r="AO135" s="31" t="s">
        <v>696</v>
      </c>
      <c r="AP135" s="31" t="s">
        <v>144</v>
      </c>
      <c r="AQ135" s="31" t="s">
        <v>144</v>
      </c>
      <c r="AR135" s="31" t="s">
        <v>144</v>
      </c>
    </row>
    <row r="136" spans="5:44" s="31" customFormat="1" ht="15" customHeight="1" x14ac:dyDescent="0.3">
      <c r="E136" s="31" t="s">
        <v>287</v>
      </c>
      <c r="F136" s="31" t="s">
        <v>140</v>
      </c>
      <c r="G136" s="31" t="s">
        <v>157</v>
      </c>
      <c r="H136" s="31" t="s">
        <v>279</v>
      </c>
      <c r="I136" s="31" t="s">
        <v>594</v>
      </c>
      <c r="J136" s="31" t="s">
        <v>668</v>
      </c>
      <c r="K136" s="31" t="s">
        <v>671</v>
      </c>
      <c r="L136" s="31" t="s">
        <v>254</v>
      </c>
      <c r="M136" s="375" t="s">
        <v>691</v>
      </c>
      <c r="N136" s="375"/>
      <c r="O136" s="31" t="s">
        <v>144</v>
      </c>
      <c r="P136" s="31" t="s">
        <v>144</v>
      </c>
      <c r="Q136" s="31" t="s">
        <v>277</v>
      </c>
      <c r="R136" s="31" t="s">
        <v>570</v>
      </c>
      <c r="S136" s="31" t="s">
        <v>144</v>
      </c>
      <c r="T136" s="31" t="s">
        <v>144</v>
      </c>
      <c r="U136" s="31" t="s">
        <v>144</v>
      </c>
      <c r="V136" s="31" t="s">
        <v>144</v>
      </c>
      <c r="W136" s="31" t="s">
        <v>144</v>
      </c>
      <c r="X136" s="31" t="s">
        <v>144</v>
      </c>
      <c r="Z136" s="31" t="s">
        <v>144</v>
      </c>
      <c r="AA136" s="31">
        <v>17.399999999999999</v>
      </c>
      <c r="AB136" s="380">
        <v>16</v>
      </c>
      <c r="AC136" s="380">
        <v>0.9</v>
      </c>
      <c r="AD136" s="380">
        <v>0.5</v>
      </c>
      <c r="AE136" s="31">
        <v>1.3</v>
      </c>
      <c r="AF136" s="31">
        <v>28</v>
      </c>
      <c r="AG136" s="31" t="s">
        <v>144</v>
      </c>
      <c r="AH136" s="31" t="s">
        <v>144</v>
      </c>
      <c r="AI136" s="31" t="s">
        <v>144</v>
      </c>
      <c r="AJ136" s="31" t="s">
        <v>144</v>
      </c>
      <c r="AK136" s="31" t="s">
        <v>144</v>
      </c>
      <c r="AL136" s="31" t="s">
        <v>350</v>
      </c>
      <c r="AM136" s="31" t="s">
        <v>144</v>
      </c>
      <c r="AN136" s="31" t="s">
        <v>697</v>
      </c>
      <c r="AO136" s="31" t="s">
        <v>696</v>
      </c>
      <c r="AP136" s="31" t="s">
        <v>144</v>
      </c>
      <c r="AQ136" s="31" t="s">
        <v>144</v>
      </c>
      <c r="AR136" s="31" t="s">
        <v>144</v>
      </c>
    </row>
    <row r="137" spans="5:44" s="31" customFormat="1" ht="15" customHeight="1" x14ac:dyDescent="0.3">
      <c r="E137" s="31" t="s">
        <v>287</v>
      </c>
      <c r="F137" s="31" t="s">
        <v>140</v>
      </c>
      <c r="G137" s="31" t="s">
        <v>157</v>
      </c>
      <c r="H137" s="31" t="s">
        <v>279</v>
      </c>
      <c r="I137" s="31" t="s">
        <v>594</v>
      </c>
      <c r="J137" s="31" t="s">
        <v>668</v>
      </c>
      <c r="K137" s="31" t="s">
        <v>672</v>
      </c>
      <c r="L137" s="31" t="s">
        <v>254</v>
      </c>
      <c r="M137" s="375" t="s">
        <v>691</v>
      </c>
      <c r="N137" s="375"/>
      <c r="O137" s="31" t="s">
        <v>144</v>
      </c>
      <c r="P137" s="31" t="s">
        <v>144</v>
      </c>
      <c r="Q137" s="31" t="s">
        <v>277</v>
      </c>
      <c r="R137" s="31" t="s">
        <v>570</v>
      </c>
      <c r="S137" s="31" t="s">
        <v>144</v>
      </c>
      <c r="T137" s="31" t="s">
        <v>144</v>
      </c>
      <c r="U137" s="31" t="s">
        <v>144</v>
      </c>
      <c r="V137" s="31" t="s">
        <v>144</v>
      </c>
      <c r="W137" s="31" t="s">
        <v>144</v>
      </c>
      <c r="X137" s="31" t="s">
        <v>144</v>
      </c>
      <c r="Z137" s="31" t="s">
        <v>144</v>
      </c>
      <c r="AA137" s="31">
        <v>17.399999999999999</v>
      </c>
      <c r="AB137" s="380">
        <v>16</v>
      </c>
      <c r="AC137" s="380">
        <v>0.9</v>
      </c>
      <c r="AD137" s="380">
        <v>0.5</v>
      </c>
      <c r="AE137" s="31">
        <v>1.3</v>
      </c>
      <c r="AF137" s="31">
        <v>28</v>
      </c>
      <c r="AG137" s="31" t="s">
        <v>144</v>
      </c>
      <c r="AH137" s="31" t="s">
        <v>144</v>
      </c>
      <c r="AI137" s="31" t="s">
        <v>144</v>
      </c>
      <c r="AJ137" s="31" t="s">
        <v>144</v>
      </c>
      <c r="AK137" s="31" t="s">
        <v>144</v>
      </c>
      <c r="AL137" s="31" t="s">
        <v>350</v>
      </c>
      <c r="AM137" s="31" t="s">
        <v>144</v>
      </c>
      <c r="AN137" s="31" t="s">
        <v>697</v>
      </c>
      <c r="AO137" s="31" t="s">
        <v>696</v>
      </c>
      <c r="AP137" s="31" t="s">
        <v>144</v>
      </c>
      <c r="AQ137" s="31" t="s">
        <v>144</v>
      </c>
      <c r="AR137" s="31" t="s">
        <v>144</v>
      </c>
    </row>
    <row r="138" spans="5:44" s="31" customFormat="1" ht="15" customHeight="1" x14ac:dyDescent="0.3">
      <c r="E138" s="31" t="s">
        <v>287</v>
      </c>
      <c r="F138" s="31" t="s">
        <v>140</v>
      </c>
      <c r="G138" s="31" t="s">
        <v>157</v>
      </c>
      <c r="H138" s="31" t="s">
        <v>279</v>
      </c>
      <c r="I138" s="31" t="s">
        <v>594</v>
      </c>
      <c r="J138" s="31" t="s">
        <v>673</v>
      </c>
      <c r="K138" s="31" t="s">
        <v>701</v>
      </c>
      <c r="L138" s="31" t="s">
        <v>254</v>
      </c>
      <c r="M138" s="375" t="s">
        <v>692</v>
      </c>
      <c r="N138" s="375"/>
      <c r="O138" s="31" t="s">
        <v>144</v>
      </c>
      <c r="P138" s="31" t="s">
        <v>144</v>
      </c>
      <c r="Q138" s="31" t="s">
        <v>277</v>
      </c>
      <c r="R138" s="31" t="s">
        <v>570</v>
      </c>
      <c r="S138" s="31" t="s">
        <v>144</v>
      </c>
      <c r="T138" s="31" t="s">
        <v>144</v>
      </c>
      <c r="U138" s="31" t="s">
        <v>144</v>
      </c>
      <c r="V138" s="31" t="s">
        <v>144</v>
      </c>
      <c r="W138" s="31" t="s">
        <v>144</v>
      </c>
      <c r="X138" s="31" t="s">
        <v>144</v>
      </c>
      <c r="Z138" s="31" t="s">
        <v>144</v>
      </c>
      <c r="AA138" s="31">
        <v>17.399999999999999</v>
      </c>
      <c r="AB138" s="380">
        <v>16</v>
      </c>
      <c r="AC138" s="380">
        <v>0.9</v>
      </c>
      <c r="AD138" s="380">
        <v>0.5</v>
      </c>
      <c r="AE138" s="31">
        <v>1.3</v>
      </c>
      <c r="AF138" s="31">
        <v>28</v>
      </c>
      <c r="AG138" s="31" t="s">
        <v>144</v>
      </c>
      <c r="AH138" s="31" t="s">
        <v>144</v>
      </c>
      <c r="AI138" s="31" t="s">
        <v>144</v>
      </c>
      <c r="AJ138" s="31" t="s">
        <v>144</v>
      </c>
      <c r="AK138" s="31" t="s">
        <v>144</v>
      </c>
      <c r="AL138" s="31" t="s">
        <v>350</v>
      </c>
      <c r="AM138" s="31" t="s">
        <v>144</v>
      </c>
      <c r="AN138" s="31" t="s">
        <v>697</v>
      </c>
      <c r="AO138" s="31" t="s">
        <v>696</v>
      </c>
      <c r="AP138" s="31" t="s">
        <v>144</v>
      </c>
      <c r="AQ138" s="31" t="s">
        <v>144</v>
      </c>
      <c r="AR138" s="31" t="s">
        <v>144</v>
      </c>
    </row>
    <row r="139" spans="5:44" s="31" customFormat="1" ht="15" customHeight="1" x14ac:dyDescent="0.3">
      <c r="E139" s="31" t="s">
        <v>287</v>
      </c>
      <c r="F139" s="31" t="s">
        <v>140</v>
      </c>
      <c r="G139" s="31" t="s">
        <v>157</v>
      </c>
      <c r="H139" s="31" t="s">
        <v>279</v>
      </c>
      <c r="I139" s="31" t="s">
        <v>594</v>
      </c>
      <c r="J139" s="31" t="s">
        <v>673</v>
      </c>
      <c r="K139" s="31" t="s">
        <v>702</v>
      </c>
      <c r="L139" s="31" t="s">
        <v>254</v>
      </c>
      <c r="M139" s="375" t="s">
        <v>692</v>
      </c>
      <c r="N139" s="375"/>
      <c r="O139" s="31" t="s">
        <v>144</v>
      </c>
      <c r="P139" s="31" t="s">
        <v>144</v>
      </c>
      <c r="Q139" s="31" t="s">
        <v>277</v>
      </c>
      <c r="R139" s="31" t="s">
        <v>570</v>
      </c>
      <c r="S139" s="31" t="s">
        <v>144</v>
      </c>
      <c r="T139" s="31" t="s">
        <v>144</v>
      </c>
      <c r="U139" s="31" t="s">
        <v>144</v>
      </c>
      <c r="V139" s="31" t="s">
        <v>144</v>
      </c>
      <c r="W139" s="31" t="s">
        <v>144</v>
      </c>
      <c r="X139" s="31" t="s">
        <v>144</v>
      </c>
      <c r="Z139" s="31" t="s">
        <v>144</v>
      </c>
      <c r="AA139" s="31">
        <v>17.399999999999999</v>
      </c>
      <c r="AB139" s="380">
        <v>16</v>
      </c>
      <c r="AC139" s="380">
        <v>0.9</v>
      </c>
      <c r="AD139" s="380">
        <v>0.5</v>
      </c>
      <c r="AE139" s="31">
        <v>1.3</v>
      </c>
      <c r="AF139" s="31">
        <v>28</v>
      </c>
      <c r="AG139" s="31" t="s">
        <v>144</v>
      </c>
      <c r="AH139" s="31" t="s">
        <v>144</v>
      </c>
      <c r="AI139" s="31" t="s">
        <v>144</v>
      </c>
      <c r="AJ139" s="31" t="s">
        <v>144</v>
      </c>
      <c r="AK139" s="31" t="s">
        <v>144</v>
      </c>
      <c r="AL139" s="31" t="s">
        <v>350</v>
      </c>
      <c r="AM139" s="31" t="s">
        <v>144</v>
      </c>
      <c r="AN139" s="31" t="s">
        <v>697</v>
      </c>
      <c r="AO139" s="31" t="s">
        <v>696</v>
      </c>
      <c r="AP139" s="31" t="s">
        <v>144</v>
      </c>
      <c r="AQ139" s="31" t="s">
        <v>144</v>
      </c>
      <c r="AR139" s="31" t="s">
        <v>144</v>
      </c>
    </row>
    <row r="140" spans="5:44" s="31" customFormat="1" ht="15" customHeight="1" x14ac:dyDescent="0.3">
      <c r="E140" s="31" t="s">
        <v>287</v>
      </c>
      <c r="F140" s="31" t="s">
        <v>140</v>
      </c>
      <c r="G140" s="31" t="s">
        <v>157</v>
      </c>
      <c r="H140" s="31" t="s">
        <v>279</v>
      </c>
      <c r="I140" s="31" t="s">
        <v>594</v>
      </c>
      <c r="J140" s="31" t="s">
        <v>673</v>
      </c>
      <c r="K140" s="31" t="s">
        <v>700</v>
      </c>
      <c r="L140" s="31" t="s">
        <v>254</v>
      </c>
      <c r="M140" s="375" t="s">
        <v>692</v>
      </c>
      <c r="N140" s="375"/>
      <c r="O140" s="31" t="s">
        <v>144</v>
      </c>
      <c r="P140" s="31" t="s">
        <v>144</v>
      </c>
      <c r="Q140" s="31" t="s">
        <v>277</v>
      </c>
      <c r="R140" s="31" t="s">
        <v>570</v>
      </c>
      <c r="S140" s="31" t="s">
        <v>144</v>
      </c>
      <c r="T140" s="31" t="s">
        <v>144</v>
      </c>
      <c r="U140" s="31" t="s">
        <v>144</v>
      </c>
      <c r="V140" s="31" t="s">
        <v>144</v>
      </c>
      <c r="W140" s="31" t="s">
        <v>144</v>
      </c>
      <c r="X140" s="31" t="s">
        <v>144</v>
      </c>
      <c r="Z140" s="31" t="s">
        <v>144</v>
      </c>
      <c r="AA140" s="31">
        <v>17.399999999999999</v>
      </c>
      <c r="AB140" s="380">
        <v>16</v>
      </c>
      <c r="AC140" s="380">
        <v>0.9</v>
      </c>
      <c r="AD140" s="380">
        <v>0.5</v>
      </c>
      <c r="AE140" s="31">
        <v>1.3</v>
      </c>
      <c r="AF140" s="31">
        <v>28</v>
      </c>
      <c r="AG140" s="31" t="s">
        <v>144</v>
      </c>
      <c r="AH140" s="31" t="s">
        <v>144</v>
      </c>
      <c r="AI140" s="31" t="s">
        <v>144</v>
      </c>
      <c r="AJ140" s="31" t="s">
        <v>144</v>
      </c>
      <c r="AK140" s="31" t="s">
        <v>144</v>
      </c>
      <c r="AL140" s="31" t="s">
        <v>350</v>
      </c>
      <c r="AM140" s="31" t="s">
        <v>144</v>
      </c>
      <c r="AN140" s="31" t="s">
        <v>697</v>
      </c>
      <c r="AO140" s="31" t="s">
        <v>696</v>
      </c>
      <c r="AP140" s="31" t="s">
        <v>144</v>
      </c>
      <c r="AQ140" s="31" t="s">
        <v>144</v>
      </c>
      <c r="AR140" s="31" t="s">
        <v>144</v>
      </c>
    </row>
    <row r="141" spans="5:44" s="31" customFormat="1" ht="15" customHeight="1" x14ac:dyDescent="0.3">
      <c r="E141" s="31" t="s">
        <v>287</v>
      </c>
      <c r="F141" s="31" t="s">
        <v>140</v>
      </c>
      <c r="G141" s="31" t="s">
        <v>157</v>
      </c>
      <c r="H141" s="31" t="s">
        <v>279</v>
      </c>
      <c r="I141" s="31" t="s">
        <v>594</v>
      </c>
      <c r="J141" s="31" t="s">
        <v>675</v>
      </c>
      <c r="K141" s="31" t="s">
        <v>703</v>
      </c>
      <c r="L141" s="31" t="s">
        <v>254</v>
      </c>
      <c r="M141" s="375" t="s">
        <v>693</v>
      </c>
      <c r="N141" s="375"/>
      <c r="O141" s="31" t="s">
        <v>144</v>
      </c>
      <c r="P141" s="31" t="s">
        <v>144</v>
      </c>
      <c r="Q141" s="31" t="s">
        <v>277</v>
      </c>
      <c r="R141" s="31" t="s">
        <v>570</v>
      </c>
      <c r="S141" s="31" t="s">
        <v>144</v>
      </c>
      <c r="T141" s="31" t="s">
        <v>144</v>
      </c>
      <c r="U141" s="31" t="s">
        <v>144</v>
      </c>
      <c r="V141" s="31" t="s">
        <v>144</v>
      </c>
      <c r="W141" s="31" t="s">
        <v>144</v>
      </c>
      <c r="X141" s="31" t="s">
        <v>144</v>
      </c>
      <c r="Z141" s="31" t="s">
        <v>144</v>
      </c>
      <c r="AA141" s="31">
        <v>17.399999999999999</v>
      </c>
      <c r="AB141" s="380">
        <v>16</v>
      </c>
      <c r="AC141" s="380">
        <v>0.9</v>
      </c>
      <c r="AD141" s="380">
        <v>0.5</v>
      </c>
      <c r="AE141" s="31">
        <v>1.3</v>
      </c>
      <c r="AF141" s="31">
        <v>28</v>
      </c>
      <c r="AG141" s="31" t="s">
        <v>144</v>
      </c>
      <c r="AH141" s="31" t="s">
        <v>144</v>
      </c>
      <c r="AI141" s="31" t="s">
        <v>144</v>
      </c>
      <c r="AJ141" s="31" t="s">
        <v>144</v>
      </c>
      <c r="AK141" s="31" t="s">
        <v>144</v>
      </c>
      <c r="AL141" s="31" t="s">
        <v>350</v>
      </c>
      <c r="AM141" s="31" t="s">
        <v>144</v>
      </c>
      <c r="AN141" s="31" t="s">
        <v>697</v>
      </c>
      <c r="AO141" s="31" t="s">
        <v>696</v>
      </c>
      <c r="AP141" s="31" t="s">
        <v>144</v>
      </c>
      <c r="AQ141" s="31" t="s">
        <v>144</v>
      </c>
      <c r="AR141" s="31" t="s">
        <v>144</v>
      </c>
    </row>
    <row r="142" spans="5:44" s="31" customFormat="1" ht="15" customHeight="1" x14ac:dyDescent="0.3">
      <c r="E142" s="31" t="s">
        <v>287</v>
      </c>
      <c r="F142" s="31" t="s">
        <v>140</v>
      </c>
      <c r="G142" s="31" t="s">
        <v>157</v>
      </c>
      <c r="H142" s="31" t="s">
        <v>279</v>
      </c>
      <c r="I142" s="31" t="s">
        <v>594</v>
      </c>
      <c r="J142" s="31" t="s">
        <v>675</v>
      </c>
      <c r="K142" s="31" t="s">
        <v>704</v>
      </c>
      <c r="L142" s="31" t="s">
        <v>254</v>
      </c>
      <c r="M142" s="375" t="s">
        <v>693</v>
      </c>
      <c r="N142" s="375"/>
      <c r="O142" s="31" t="s">
        <v>144</v>
      </c>
      <c r="P142" s="31" t="s">
        <v>144</v>
      </c>
      <c r="Q142" s="31" t="s">
        <v>277</v>
      </c>
      <c r="R142" s="31" t="s">
        <v>570</v>
      </c>
      <c r="S142" s="31" t="s">
        <v>144</v>
      </c>
      <c r="T142" s="31" t="s">
        <v>144</v>
      </c>
      <c r="U142" s="31" t="s">
        <v>144</v>
      </c>
      <c r="V142" s="31" t="s">
        <v>144</v>
      </c>
      <c r="W142" s="31" t="s">
        <v>144</v>
      </c>
      <c r="X142" s="31" t="s">
        <v>144</v>
      </c>
      <c r="Z142" s="31" t="s">
        <v>144</v>
      </c>
      <c r="AA142" s="31">
        <v>17.399999999999999</v>
      </c>
      <c r="AB142" s="380">
        <v>16</v>
      </c>
      <c r="AC142" s="380">
        <v>0.9</v>
      </c>
      <c r="AD142" s="380">
        <v>0.5</v>
      </c>
      <c r="AE142" s="31">
        <v>1.3</v>
      </c>
      <c r="AF142" s="31">
        <v>28</v>
      </c>
      <c r="AG142" s="31" t="s">
        <v>144</v>
      </c>
      <c r="AH142" s="31" t="s">
        <v>144</v>
      </c>
      <c r="AI142" s="31" t="s">
        <v>144</v>
      </c>
      <c r="AJ142" s="31" t="s">
        <v>144</v>
      </c>
      <c r="AK142" s="31" t="s">
        <v>144</v>
      </c>
      <c r="AL142" s="31" t="s">
        <v>350</v>
      </c>
      <c r="AM142" s="31" t="s">
        <v>144</v>
      </c>
      <c r="AN142" s="31" t="s">
        <v>697</v>
      </c>
      <c r="AO142" s="31" t="s">
        <v>696</v>
      </c>
      <c r="AP142" s="31" t="s">
        <v>144</v>
      </c>
      <c r="AQ142" s="31" t="s">
        <v>144</v>
      </c>
      <c r="AR142" s="31" t="s">
        <v>144</v>
      </c>
    </row>
    <row r="143" spans="5:44" s="31" customFormat="1" ht="15" customHeight="1" x14ac:dyDescent="0.3">
      <c r="E143" s="31" t="s">
        <v>287</v>
      </c>
      <c r="F143" s="31" t="s">
        <v>140</v>
      </c>
      <c r="G143" s="31" t="s">
        <v>157</v>
      </c>
      <c r="H143" s="31" t="s">
        <v>279</v>
      </c>
      <c r="I143" s="31" t="s">
        <v>594</v>
      </c>
      <c r="J143" s="31" t="s">
        <v>675</v>
      </c>
      <c r="K143" s="31" t="s">
        <v>705</v>
      </c>
      <c r="L143" s="31" t="s">
        <v>254</v>
      </c>
      <c r="M143" s="375" t="s">
        <v>693</v>
      </c>
      <c r="N143" s="375"/>
      <c r="O143" s="31" t="s">
        <v>144</v>
      </c>
      <c r="P143" s="31" t="s">
        <v>144</v>
      </c>
      <c r="Q143" s="31" t="s">
        <v>277</v>
      </c>
      <c r="R143" s="31" t="s">
        <v>570</v>
      </c>
      <c r="S143" s="31" t="s">
        <v>144</v>
      </c>
      <c r="T143" s="31" t="s">
        <v>144</v>
      </c>
      <c r="U143" s="31" t="s">
        <v>144</v>
      </c>
      <c r="V143" s="31" t="s">
        <v>144</v>
      </c>
      <c r="W143" s="31" t="s">
        <v>144</v>
      </c>
      <c r="X143" s="31" t="s">
        <v>144</v>
      </c>
      <c r="Z143" s="31" t="s">
        <v>144</v>
      </c>
      <c r="AA143" s="31">
        <v>17.399999999999999</v>
      </c>
      <c r="AB143" s="380">
        <v>16</v>
      </c>
      <c r="AC143" s="380">
        <v>0.9</v>
      </c>
      <c r="AD143" s="380">
        <v>0.5</v>
      </c>
      <c r="AE143" s="31">
        <v>1.3</v>
      </c>
      <c r="AF143" s="31">
        <v>28</v>
      </c>
      <c r="AG143" s="31" t="s">
        <v>144</v>
      </c>
      <c r="AH143" s="31" t="s">
        <v>144</v>
      </c>
      <c r="AI143" s="31" t="s">
        <v>144</v>
      </c>
      <c r="AJ143" s="31" t="s">
        <v>144</v>
      </c>
      <c r="AK143" s="31" t="s">
        <v>144</v>
      </c>
      <c r="AL143" s="31" t="s">
        <v>350</v>
      </c>
      <c r="AM143" s="31" t="s">
        <v>144</v>
      </c>
      <c r="AN143" s="31" t="s">
        <v>697</v>
      </c>
      <c r="AO143" s="31" t="s">
        <v>696</v>
      </c>
      <c r="AP143" s="31" t="s">
        <v>144</v>
      </c>
      <c r="AQ143" s="31" t="s">
        <v>144</v>
      </c>
      <c r="AR143" s="31" t="s">
        <v>144</v>
      </c>
    </row>
    <row r="144" spans="5:44" s="31" customFormat="1" ht="15" customHeight="1" x14ac:dyDescent="0.3">
      <c r="E144" s="31" t="s">
        <v>287</v>
      </c>
      <c r="F144" s="31" t="s">
        <v>140</v>
      </c>
      <c r="G144" s="31" t="s">
        <v>157</v>
      </c>
      <c r="H144" s="31" t="s">
        <v>279</v>
      </c>
      <c r="I144" s="31" t="s">
        <v>594</v>
      </c>
      <c r="J144" s="31" t="s">
        <v>677</v>
      </c>
      <c r="K144" s="31" t="s">
        <v>706</v>
      </c>
      <c r="L144" s="31" t="s">
        <v>254</v>
      </c>
      <c r="M144" s="375" t="s">
        <v>694</v>
      </c>
      <c r="N144" s="375"/>
      <c r="O144" s="31" t="s">
        <v>144</v>
      </c>
      <c r="P144" s="31" t="s">
        <v>144</v>
      </c>
      <c r="Q144" s="31" t="s">
        <v>277</v>
      </c>
      <c r="R144" s="31" t="s">
        <v>570</v>
      </c>
      <c r="S144" s="31" t="s">
        <v>144</v>
      </c>
      <c r="T144" s="31" t="s">
        <v>144</v>
      </c>
      <c r="U144" s="31" t="s">
        <v>144</v>
      </c>
      <c r="V144" s="31" t="s">
        <v>144</v>
      </c>
      <c r="W144" s="31" t="s">
        <v>144</v>
      </c>
      <c r="X144" s="31" t="s">
        <v>144</v>
      </c>
      <c r="Z144" s="31" t="s">
        <v>144</v>
      </c>
      <c r="AA144" s="31">
        <v>17.399999999999999</v>
      </c>
      <c r="AB144" s="380">
        <v>16</v>
      </c>
      <c r="AC144" s="380">
        <v>0.9</v>
      </c>
      <c r="AD144" s="380">
        <v>0.5</v>
      </c>
      <c r="AE144" s="31">
        <v>1.3</v>
      </c>
      <c r="AF144" s="31">
        <v>28</v>
      </c>
      <c r="AG144" s="31" t="s">
        <v>144</v>
      </c>
      <c r="AH144" s="31" t="s">
        <v>144</v>
      </c>
      <c r="AI144" s="31" t="s">
        <v>144</v>
      </c>
      <c r="AJ144" s="31" t="s">
        <v>144</v>
      </c>
      <c r="AK144" s="31" t="s">
        <v>144</v>
      </c>
      <c r="AL144" s="31" t="s">
        <v>350</v>
      </c>
      <c r="AM144" s="31" t="s">
        <v>144</v>
      </c>
      <c r="AN144" s="31" t="s">
        <v>697</v>
      </c>
      <c r="AO144" s="31" t="s">
        <v>696</v>
      </c>
      <c r="AP144" s="31" t="s">
        <v>144</v>
      </c>
      <c r="AQ144" s="31" t="s">
        <v>144</v>
      </c>
      <c r="AR144" s="31" t="s">
        <v>144</v>
      </c>
    </row>
    <row r="145" spans="5:44" s="31" customFormat="1" ht="15" customHeight="1" x14ac:dyDescent="0.3">
      <c r="E145" s="31" t="s">
        <v>287</v>
      </c>
      <c r="F145" s="31" t="s">
        <v>140</v>
      </c>
      <c r="G145" s="31" t="s">
        <v>157</v>
      </c>
      <c r="H145" s="31" t="s">
        <v>279</v>
      </c>
      <c r="I145" s="31" t="s">
        <v>594</v>
      </c>
      <c r="J145" s="31" t="s">
        <v>677</v>
      </c>
      <c r="K145" s="31" t="s">
        <v>707</v>
      </c>
      <c r="L145" s="31" t="s">
        <v>254</v>
      </c>
      <c r="M145" s="375" t="s">
        <v>694</v>
      </c>
      <c r="N145" s="375"/>
      <c r="O145" s="31" t="s">
        <v>144</v>
      </c>
      <c r="P145" s="31" t="s">
        <v>144</v>
      </c>
      <c r="Q145" s="31" t="s">
        <v>277</v>
      </c>
      <c r="R145" s="31" t="s">
        <v>570</v>
      </c>
      <c r="S145" s="31" t="s">
        <v>144</v>
      </c>
      <c r="T145" s="31" t="s">
        <v>144</v>
      </c>
      <c r="U145" s="31" t="s">
        <v>144</v>
      </c>
      <c r="V145" s="31" t="s">
        <v>144</v>
      </c>
      <c r="W145" s="31" t="s">
        <v>144</v>
      </c>
      <c r="X145" s="31" t="s">
        <v>144</v>
      </c>
      <c r="Z145" s="31" t="s">
        <v>144</v>
      </c>
      <c r="AA145" s="31">
        <v>17.399999999999999</v>
      </c>
      <c r="AB145" s="380">
        <v>16</v>
      </c>
      <c r="AC145" s="380">
        <v>0.9</v>
      </c>
      <c r="AD145" s="380">
        <v>0.5</v>
      </c>
      <c r="AE145" s="31">
        <v>1.3</v>
      </c>
      <c r="AF145" s="31">
        <v>28</v>
      </c>
      <c r="AG145" s="31" t="s">
        <v>144</v>
      </c>
      <c r="AH145" s="31" t="s">
        <v>144</v>
      </c>
      <c r="AI145" s="31" t="s">
        <v>144</v>
      </c>
      <c r="AJ145" s="31" t="s">
        <v>144</v>
      </c>
      <c r="AK145" s="31" t="s">
        <v>144</v>
      </c>
      <c r="AL145" s="31" t="s">
        <v>350</v>
      </c>
      <c r="AM145" s="31" t="s">
        <v>144</v>
      </c>
      <c r="AN145" s="31" t="s">
        <v>697</v>
      </c>
      <c r="AO145" s="31" t="s">
        <v>696</v>
      </c>
      <c r="AP145" s="31" t="s">
        <v>144</v>
      </c>
      <c r="AQ145" s="31" t="s">
        <v>144</v>
      </c>
      <c r="AR145" s="31" t="s">
        <v>144</v>
      </c>
    </row>
    <row r="146" spans="5:44" s="31" customFormat="1" ht="15" customHeight="1" x14ac:dyDescent="0.3">
      <c r="E146" s="31" t="s">
        <v>287</v>
      </c>
      <c r="F146" s="31" t="s">
        <v>140</v>
      </c>
      <c r="G146" s="31" t="s">
        <v>157</v>
      </c>
      <c r="H146" s="31" t="s">
        <v>279</v>
      </c>
      <c r="I146" s="31" t="s">
        <v>594</v>
      </c>
      <c r="J146" s="31" t="s">
        <v>677</v>
      </c>
      <c r="K146" s="31" t="s">
        <v>708</v>
      </c>
      <c r="L146" s="31" t="s">
        <v>254</v>
      </c>
      <c r="M146" s="375" t="s">
        <v>694</v>
      </c>
      <c r="N146" s="375"/>
      <c r="O146" s="31" t="s">
        <v>144</v>
      </c>
      <c r="P146" s="31" t="s">
        <v>144</v>
      </c>
      <c r="Q146" s="31" t="s">
        <v>277</v>
      </c>
      <c r="R146" s="31" t="s">
        <v>570</v>
      </c>
      <c r="S146" s="31" t="s">
        <v>144</v>
      </c>
      <c r="T146" s="31" t="s">
        <v>144</v>
      </c>
      <c r="U146" s="31" t="s">
        <v>144</v>
      </c>
      <c r="V146" s="31" t="s">
        <v>144</v>
      </c>
      <c r="W146" s="31" t="s">
        <v>144</v>
      </c>
      <c r="X146" s="31" t="s">
        <v>144</v>
      </c>
      <c r="Z146" s="31" t="s">
        <v>144</v>
      </c>
      <c r="AA146" s="31">
        <v>17.399999999999999</v>
      </c>
      <c r="AB146" s="380">
        <v>16</v>
      </c>
      <c r="AC146" s="380">
        <v>0.9</v>
      </c>
      <c r="AD146" s="380">
        <v>0.5</v>
      </c>
      <c r="AE146" s="31">
        <v>1.3</v>
      </c>
      <c r="AF146" s="31">
        <v>28</v>
      </c>
      <c r="AG146" s="31" t="s">
        <v>144</v>
      </c>
      <c r="AH146" s="31" t="s">
        <v>144</v>
      </c>
      <c r="AI146" s="31" t="s">
        <v>144</v>
      </c>
      <c r="AJ146" s="31" t="s">
        <v>144</v>
      </c>
      <c r="AK146" s="31" t="s">
        <v>144</v>
      </c>
      <c r="AL146" s="31" t="s">
        <v>350</v>
      </c>
      <c r="AM146" s="31" t="s">
        <v>144</v>
      </c>
      <c r="AN146" s="31" t="s">
        <v>697</v>
      </c>
      <c r="AO146" s="31" t="s">
        <v>696</v>
      </c>
      <c r="AP146" s="31" t="s">
        <v>144</v>
      </c>
      <c r="AQ146" s="31" t="s">
        <v>144</v>
      </c>
      <c r="AR146" s="31" t="s">
        <v>144</v>
      </c>
    </row>
    <row r="147" spans="5:44" s="31" customFormat="1" ht="15" customHeight="1" x14ac:dyDescent="0.3">
      <c r="M147" s="375"/>
      <c r="N147" s="375"/>
    </row>
    <row r="148" spans="5:44" s="31" customFormat="1" ht="15" customHeight="1" x14ac:dyDescent="0.3">
      <c r="M148" s="375"/>
      <c r="N148" s="375"/>
    </row>
    <row r="149" spans="5:44" s="31" customFormat="1" ht="15" customHeight="1" x14ac:dyDescent="0.3">
      <c r="M149" s="375"/>
      <c r="N149" s="375"/>
    </row>
    <row r="150" spans="5:44" s="31" customFormat="1" ht="15" customHeight="1" x14ac:dyDescent="0.3">
      <c r="E150" s="31" t="s">
        <v>288</v>
      </c>
      <c r="F150" s="31" t="s">
        <v>140</v>
      </c>
      <c r="G150" s="31" t="s">
        <v>198</v>
      </c>
      <c r="H150" s="31" t="s">
        <v>280</v>
      </c>
      <c r="I150" s="31" t="s">
        <v>594</v>
      </c>
      <c r="J150" s="31" t="s">
        <v>663</v>
      </c>
      <c r="K150" s="31" t="s">
        <v>664</v>
      </c>
      <c r="L150" s="31" t="s">
        <v>683</v>
      </c>
      <c r="M150" s="31" t="s">
        <v>611</v>
      </c>
      <c r="O150" s="31">
        <v>16</v>
      </c>
      <c r="P150" s="31" t="s">
        <v>144</v>
      </c>
      <c r="Q150" s="31" t="s">
        <v>274</v>
      </c>
      <c r="R150" s="31" t="s">
        <v>709</v>
      </c>
      <c r="S150" s="31" t="s">
        <v>144</v>
      </c>
      <c r="T150" s="31" t="s">
        <v>144</v>
      </c>
      <c r="U150" s="31" t="s">
        <v>144</v>
      </c>
      <c r="V150" s="31" t="s">
        <v>144</v>
      </c>
      <c r="W150" s="31" t="s">
        <v>144</v>
      </c>
      <c r="X150" s="31" t="s">
        <v>144</v>
      </c>
      <c r="Y150" s="31" t="s">
        <v>144</v>
      </c>
      <c r="Z150" s="31" t="s">
        <v>144</v>
      </c>
      <c r="AA150" s="31" t="s">
        <v>144</v>
      </c>
      <c r="AB150" s="31" t="s">
        <v>144</v>
      </c>
      <c r="AC150" s="31" t="s">
        <v>144</v>
      </c>
      <c r="AD150" s="31" t="s">
        <v>144</v>
      </c>
      <c r="AE150" s="31" t="s">
        <v>144</v>
      </c>
      <c r="AF150" s="31" t="s">
        <v>144</v>
      </c>
      <c r="AG150" s="31" t="s">
        <v>144</v>
      </c>
      <c r="AH150" s="31" t="s">
        <v>684</v>
      </c>
      <c r="AI150" s="31" t="s">
        <v>698</v>
      </c>
      <c r="AJ150" s="31" t="s">
        <v>144</v>
      </c>
      <c r="AK150" s="31" t="s">
        <v>144</v>
      </c>
      <c r="AL150" s="31" t="s">
        <v>201</v>
      </c>
      <c r="AM150" s="31" t="s">
        <v>144</v>
      </c>
      <c r="AN150" s="31" t="s">
        <v>164</v>
      </c>
      <c r="AO150" s="31" t="s">
        <v>144</v>
      </c>
    </row>
    <row r="151" spans="5:44" s="31" customFormat="1" ht="15" customHeight="1" x14ac:dyDescent="0.3">
      <c r="E151" s="31" t="s">
        <v>288</v>
      </c>
      <c r="F151" s="31" t="s">
        <v>140</v>
      </c>
      <c r="G151" s="31" t="s">
        <v>198</v>
      </c>
      <c r="H151" s="31" t="s">
        <v>280</v>
      </c>
      <c r="I151" s="31" t="s">
        <v>594</v>
      </c>
      <c r="J151" s="31" t="s">
        <v>663</v>
      </c>
      <c r="K151" s="31" t="s">
        <v>666</v>
      </c>
      <c r="L151" s="31" t="s">
        <v>683</v>
      </c>
      <c r="M151" s="31" t="s">
        <v>611</v>
      </c>
      <c r="O151" s="31">
        <v>16</v>
      </c>
      <c r="P151" s="31" t="s">
        <v>144</v>
      </c>
      <c r="Q151" s="31" t="s">
        <v>274</v>
      </c>
      <c r="R151" s="31" t="s">
        <v>709</v>
      </c>
      <c r="S151" s="31" t="s">
        <v>144</v>
      </c>
      <c r="T151" s="31" t="s">
        <v>144</v>
      </c>
      <c r="U151" s="31" t="s">
        <v>144</v>
      </c>
      <c r="V151" s="31" t="s">
        <v>144</v>
      </c>
      <c r="W151" s="31" t="s">
        <v>144</v>
      </c>
      <c r="X151" s="31" t="s">
        <v>144</v>
      </c>
      <c r="Y151" s="31" t="s">
        <v>144</v>
      </c>
      <c r="Z151" s="31" t="s">
        <v>144</v>
      </c>
      <c r="AA151" s="31" t="s">
        <v>144</v>
      </c>
      <c r="AB151" s="31" t="s">
        <v>144</v>
      </c>
      <c r="AC151" s="31" t="s">
        <v>144</v>
      </c>
      <c r="AD151" s="31" t="s">
        <v>144</v>
      </c>
      <c r="AE151" s="31" t="s">
        <v>144</v>
      </c>
      <c r="AF151" s="31" t="s">
        <v>144</v>
      </c>
      <c r="AG151" s="31" t="s">
        <v>144</v>
      </c>
      <c r="AH151" s="31" t="s">
        <v>684</v>
      </c>
      <c r="AI151" s="31" t="s">
        <v>698</v>
      </c>
      <c r="AJ151" s="31" t="s">
        <v>144</v>
      </c>
      <c r="AK151" s="31" t="s">
        <v>144</v>
      </c>
      <c r="AL151" s="31" t="s">
        <v>201</v>
      </c>
      <c r="AM151" s="31" t="s">
        <v>144</v>
      </c>
      <c r="AN151" s="31" t="s">
        <v>164</v>
      </c>
      <c r="AO151" s="31" t="s">
        <v>144</v>
      </c>
    </row>
    <row r="152" spans="5:44" s="31" customFormat="1" ht="15" customHeight="1" x14ac:dyDescent="0.3">
      <c r="E152" s="31" t="s">
        <v>288</v>
      </c>
      <c r="F152" s="31" t="s">
        <v>140</v>
      </c>
      <c r="G152" s="31" t="s">
        <v>198</v>
      </c>
      <c r="H152" s="31" t="s">
        <v>280</v>
      </c>
      <c r="I152" s="31" t="s">
        <v>594</v>
      </c>
      <c r="J152" s="31" t="s">
        <v>663</v>
      </c>
      <c r="K152" s="31" t="s">
        <v>667</v>
      </c>
      <c r="L152" s="31" t="s">
        <v>683</v>
      </c>
      <c r="M152" s="31" t="s">
        <v>611</v>
      </c>
      <c r="O152" s="31">
        <v>16</v>
      </c>
      <c r="P152" s="31" t="s">
        <v>144</v>
      </c>
      <c r="Q152" s="31" t="s">
        <v>274</v>
      </c>
      <c r="R152" s="31" t="s">
        <v>709</v>
      </c>
      <c r="S152" s="31" t="s">
        <v>144</v>
      </c>
      <c r="T152" s="31" t="s">
        <v>144</v>
      </c>
      <c r="U152" s="31" t="s">
        <v>144</v>
      </c>
      <c r="V152" s="31" t="s">
        <v>144</v>
      </c>
      <c r="W152" s="31" t="s">
        <v>144</v>
      </c>
      <c r="X152" s="31" t="s">
        <v>144</v>
      </c>
      <c r="Y152" s="31" t="s">
        <v>144</v>
      </c>
      <c r="Z152" s="31" t="s">
        <v>144</v>
      </c>
      <c r="AA152" s="31" t="s">
        <v>144</v>
      </c>
      <c r="AB152" s="31" t="s">
        <v>144</v>
      </c>
      <c r="AC152" s="31" t="s">
        <v>144</v>
      </c>
      <c r="AD152" s="31" t="s">
        <v>144</v>
      </c>
      <c r="AE152" s="31" t="s">
        <v>144</v>
      </c>
      <c r="AF152" s="31" t="s">
        <v>144</v>
      </c>
      <c r="AG152" s="31" t="s">
        <v>144</v>
      </c>
      <c r="AH152" s="31" t="s">
        <v>684</v>
      </c>
      <c r="AI152" s="31" t="s">
        <v>698</v>
      </c>
      <c r="AJ152" s="31" t="s">
        <v>144</v>
      </c>
      <c r="AK152" s="31" t="s">
        <v>144</v>
      </c>
      <c r="AL152" s="31" t="s">
        <v>201</v>
      </c>
      <c r="AM152" s="31" t="s">
        <v>144</v>
      </c>
      <c r="AN152" s="31" t="s">
        <v>164</v>
      </c>
      <c r="AO152" s="31" t="s">
        <v>144</v>
      </c>
    </row>
    <row r="153" spans="5:44" s="31" customFormat="1" ht="15" customHeight="1" x14ac:dyDescent="0.3">
      <c r="E153" s="31" t="s">
        <v>288</v>
      </c>
      <c r="F153" s="31" t="s">
        <v>140</v>
      </c>
      <c r="G153" s="31" t="s">
        <v>198</v>
      </c>
      <c r="H153" s="31" t="s">
        <v>280</v>
      </c>
      <c r="I153" s="31" t="s">
        <v>594</v>
      </c>
      <c r="J153" s="31" t="s">
        <v>668</v>
      </c>
      <c r="K153" s="31" t="s">
        <v>669</v>
      </c>
      <c r="L153" s="31" t="s">
        <v>683</v>
      </c>
      <c r="M153" s="31" t="s">
        <v>611</v>
      </c>
      <c r="O153" s="31">
        <v>16</v>
      </c>
      <c r="P153" s="31" t="s">
        <v>144</v>
      </c>
      <c r="Q153" s="31" t="s">
        <v>274</v>
      </c>
      <c r="R153" s="31" t="s">
        <v>709</v>
      </c>
      <c r="S153" s="31" t="s">
        <v>144</v>
      </c>
      <c r="T153" s="31" t="s">
        <v>144</v>
      </c>
      <c r="U153" s="31" t="s">
        <v>144</v>
      </c>
      <c r="V153" s="31" t="s">
        <v>144</v>
      </c>
      <c r="W153" s="31" t="s">
        <v>144</v>
      </c>
      <c r="X153" s="31" t="s">
        <v>144</v>
      </c>
      <c r="Y153" s="31" t="s">
        <v>144</v>
      </c>
      <c r="Z153" s="31" t="s">
        <v>144</v>
      </c>
      <c r="AA153" s="31" t="s">
        <v>144</v>
      </c>
      <c r="AB153" s="31" t="s">
        <v>144</v>
      </c>
      <c r="AC153" s="31" t="s">
        <v>144</v>
      </c>
      <c r="AD153" s="31" t="s">
        <v>144</v>
      </c>
      <c r="AE153" s="31" t="s">
        <v>144</v>
      </c>
      <c r="AF153" s="31" t="s">
        <v>144</v>
      </c>
      <c r="AG153" s="31" t="s">
        <v>144</v>
      </c>
      <c r="AH153" s="31" t="s">
        <v>684</v>
      </c>
      <c r="AI153" s="31" t="s">
        <v>698</v>
      </c>
      <c r="AJ153" s="31" t="s">
        <v>144</v>
      </c>
      <c r="AK153" s="31" t="s">
        <v>144</v>
      </c>
      <c r="AL153" s="31" t="s">
        <v>201</v>
      </c>
      <c r="AM153" s="31" t="s">
        <v>144</v>
      </c>
      <c r="AN153" s="31" t="s">
        <v>164</v>
      </c>
      <c r="AO153" s="31" t="s">
        <v>144</v>
      </c>
    </row>
    <row r="154" spans="5:44" s="31" customFormat="1" ht="15" customHeight="1" x14ac:dyDescent="0.3">
      <c r="E154" s="31" t="s">
        <v>288</v>
      </c>
      <c r="F154" s="31" t="s">
        <v>140</v>
      </c>
      <c r="G154" s="31" t="s">
        <v>198</v>
      </c>
      <c r="H154" s="31" t="s">
        <v>280</v>
      </c>
      <c r="I154" s="31" t="s">
        <v>594</v>
      </c>
      <c r="J154" s="31" t="s">
        <v>668</v>
      </c>
      <c r="K154" s="31" t="s">
        <v>671</v>
      </c>
      <c r="L154" s="31" t="s">
        <v>683</v>
      </c>
      <c r="M154" s="31" t="s">
        <v>611</v>
      </c>
      <c r="O154" s="31">
        <v>16</v>
      </c>
      <c r="P154" s="31" t="s">
        <v>144</v>
      </c>
      <c r="Q154" s="31" t="s">
        <v>274</v>
      </c>
      <c r="R154" s="31" t="s">
        <v>709</v>
      </c>
      <c r="S154" s="31" t="s">
        <v>144</v>
      </c>
      <c r="T154" s="31" t="s">
        <v>144</v>
      </c>
      <c r="U154" s="31" t="s">
        <v>144</v>
      </c>
      <c r="V154" s="31" t="s">
        <v>144</v>
      </c>
      <c r="W154" s="31" t="s">
        <v>144</v>
      </c>
      <c r="X154" s="31" t="s">
        <v>144</v>
      </c>
      <c r="Y154" s="31" t="s">
        <v>144</v>
      </c>
      <c r="Z154" s="31" t="s">
        <v>144</v>
      </c>
      <c r="AA154" s="31" t="s">
        <v>144</v>
      </c>
      <c r="AB154" s="31" t="s">
        <v>144</v>
      </c>
      <c r="AC154" s="31" t="s">
        <v>144</v>
      </c>
      <c r="AD154" s="31" t="s">
        <v>144</v>
      </c>
      <c r="AE154" s="31" t="s">
        <v>144</v>
      </c>
      <c r="AF154" s="31" t="s">
        <v>144</v>
      </c>
      <c r="AG154" s="31" t="s">
        <v>144</v>
      </c>
      <c r="AH154" s="31" t="s">
        <v>684</v>
      </c>
      <c r="AI154" s="31" t="s">
        <v>698</v>
      </c>
      <c r="AJ154" s="31" t="s">
        <v>144</v>
      </c>
      <c r="AK154" s="31" t="s">
        <v>144</v>
      </c>
      <c r="AL154" s="31" t="s">
        <v>201</v>
      </c>
      <c r="AM154" s="31" t="s">
        <v>144</v>
      </c>
      <c r="AN154" s="31" t="s">
        <v>164</v>
      </c>
      <c r="AO154" s="31" t="s">
        <v>144</v>
      </c>
    </row>
    <row r="155" spans="5:44" s="31" customFormat="1" ht="15" customHeight="1" x14ac:dyDescent="0.3">
      <c r="E155" s="31" t="s">
        <v>288</v>
      </c>
      <c r="F155" s="31" t="s">
        <v>140</v>
      </c>
      <c r="G155" s="31" t="s">
        <v>198</v>
      </c>
      <c r="H155" s="31" t="s">
        <v>280</v>
      </c>
      <c r="I155" s="31" t="s">
        <v>594</v>
      </c>
      <c r="J155" s="31" t="s">
        <v>668</v>
      </c>
      <c r="K155" s="31" t="s">
        <v>672</v>
      </c>
      <c r="L155" s="31" t="s">
        <v>683</v>
      </c>
      <c r="M155" s="31" t="s">
        <v>611</v>
      </c>
      <c r="O155" s="31">
        <v>16</v>
      </c>
      <c r="P155" s="31" t="s">
        <v>144</v>
      </c>
      <c r="Q155" s="31" t="s">
        <v>274</v>
      </c>
      <c r="R155" s="31" t="s">
        <v>709</v>
      </c>
      <c r="S155" s="31" t="s">
        <v>144</v>
      </c>
      <c r="T155" s="31" t="s">
        <v>144</v>
      </c>
      <c r="U155" s="31" t="s">
        <v>144</v>
      </c>
      <c r="V155" s="31" t="s">
        <v>144</v>
      </c>
      <c r="W155" s="31" t="s">
        <v>144</v>
      </c>
      <c r="X155" s="31" t="s">
        <v>144</v>
      </c>
      <c r="Y155" s="31" t="s">
        <v>144</v>
      </c>
      <c r="Z155" s="31" t="s">
        <v>144</v>
      </c>
      <c r="AA155" s="31" t="s">
        <v>144</v>
      </c>
      <c r="AB155" s="31" t="s">
        <v>144</v>
      </c>
      <c r="AC155" s="31" t="s">
        <v>144</v>
      </c>
      <c r="AD155" s="31" t="s">
        <v>144</v>
      </c>
      <c r="AE155" s="31" t="s">
        <v>144</v>
      </c>
      <c r="AF155" s="31" t="s">
        <v>144</v>
      </c>
      <c r="AG155" s="31" t="s">
        <v>144</v>
      </c>
      <c r="AH155" s="31" t="s">
        <v>684</v>
      </c>
      <c r="AI155" s="31" t="s">
        <v>698</v>
      </c>
      <c r="AJ155" s="31" t="s">
        <v>144</v>
      </c>
      <c r="AK155" s="31" t="s">
        <v>144</v>
      </c>
      <c r="AL155" s="31" t="s">
        <v>201</v>
      </c>
      <c r="AM155" s="31" t="s">
        <v>144</v>
      </c>
      <c r="AN155" s="31" t="s">
        <v>164</v>
      </c>
      <c r="AO155" s="31" t="s">
        <v>144</v>
      </c>
    </row>
    <row r="156" spans="5:44" ht="15" customHeight="1" x14ac:dyDescent="0.3">
      <c r="E156" s="31" t="s">
        <v>288</v>
      </c>
      <c r="F156" s="31" t="s">
        <v>140</v>
      </c>
      <c r="G156" s="31" t="s">
        <v>198</v>
      </c>
      <c r="H156" s="31" t="s">
        <v>280</v>
      </c>
      <c r="I156" s="31" t="s">
        <v>594</v>
      </c>
      <c r="J156" s="31" t="s">
        <v>673</v>
      </c>
      <c r="K156" s="31" t="s">
        <v>701</v>
      </c>
      <c r="L156" s="31" t="s">
        <v>683</v>
      </c>
      <c r="M156" s="31" t="s">
        <v>611</v>
      </c>
      <c r="O156" s="31">
        <v>16</v>
      </c>
      <c r="P156" s="31" t="s">
        <v>144</v>
      </c>
      <c r="Q156" s="31" t="s">
        <v>274</v>
      </c>
      <c r="R156" s="31" t="s">
        <v>709</v>
      </c>
      <c r="S156" s="31" t="s">
        <v>144</v>
      </c>
      <c r="T156" s="31" t="s">
        <v>144</v>
      </c>
      <c r="U156" s="31" t="s">
        <v>144</v>
      </c>
      <c r="V156" s="31" t="s">
        <v>144</v>
      </c>
      <c r="W156" s="31" t="s">
        <v>144</v>
      </c>
      <c r="X156" s="31" t="s">
        <v>144</v>
      </c>
      <c r="Y156" s="31" t="s">
        <v>144</v>
      </c>
      <c r="Z156" s="31" t="s">
        <v>144</v>
      </c>
      <c r="AA156" s="31" t="s">
        <v>144</v>
      </c>
      <c r="AB156" s="31" t="s">
        <v>144</v>
      </c>
      <c r="AC156" s="31" t="s">
        <v>144</v>
      </c>
      <c r="AD156" s="31" t="s">
        <v>144</v>
      </c>
      <c r="AE156" s="31" t="s">
        <v>144</v>
      </c>
      <c r="AF156" s="31" t="s">
        <v>144</v>
      </c>
      <c r="AG156" s="31" t="s">
        <v>144</v>
      </c>
      <c r="AH156" s="31" t="s">
        <v>684</v>
      </c>
      <c r="AI156" s="31" t="s">
        <v>698</v>
      </c>
      <c r="AJ156" s="31" t="s">
        <v>144</v>
      </c>
      <c r="AK156" s="31" t="s">
        <v>144</v>
      </c>
      <c r="AL156" s="31" t="s">
        <v>201</v>
      </c>
      <c r="AM156" s="31" t="s">
        <v>144</v>
      </c>
      <c r="AN156" s="31" t="s">
        <v>164</v>
      </c>
      <c r="AO156" s="31" t="s">
        <v>144</v>
      </c>
    </row>
    <row r="157" spans="5:44" ht="15" customHeight="1" x14ac:dyDescent="0.3">
      <c r="E157" s="31" t="s">
        <v>288</v>
      </c>
      <c r="F157" s="31" t="s">
        <v>140</v>
      </c>
      <c r="G157" s="31" t="s">
        <v>198</v>
      </c>
      <c r="H157" s="31" t="s">
        <v>280</v>
      </c>
      <c r="I157" s="31" t="s">
        <v>594</v>
      </c>
      <c r="J157" s="31" t="s">
        <v>673</v>
      </c>
      <c r="K157" s="31" t="s">
        <v>702</v>
      </c>
      <c r="L157" s="31" t="s">
        <v>683</v>
      </c>
      <c r="M157" s="31" t="s">
        <v>611</v>
      </c>
      <c r="O157" s="31">
        <v>16</v>
      </c>
      <c r="P157" s="31" t="s">
        <v>144</v>
      </c>
      <c r="Q157" s="31" t="s">
        <v>274</v>
      </c>
      <c r="R157" s="31" t="s">
        <v>709</v>
      </c>
      <c r="S157" s="31" t="s">
        <v>144</v>
      </c>
      <c r="T157" s="31" t="s">
        <v>144</v>
      </c>
      <c r="U157" s="31" t="s">
        <v>144</v>
      </c>
      <c r="V157" s="31" t="s">
        <v>144</v>
      </c>
      <c r="W157" s="31" t="s">
        <v>144</v>
      </c>
      <c r="X157" s="31" t="s">
        <v>144</v>
      </c>
      <c r="Y157" s="31" t="s">
        <v>144</v>
      </c>
      <c r="Z157" s="31" t="s">
        <v>144</v>
      </c>
      <c r="AA157" s="31" t="s">
        <v>144</v>
      </c>
      <c r="AB157" s="31" t="s">
        <v>144</v>
      </c>
      <c r="AC157" s="31" t="s">
        <v>144</v>
      </c>
      <c r="AD157" s="31" t="s">
        <v>144</v>
      </c>
      <c r="AE157" s="31" t="s">
        <v>144</v>
      </c>
      <c r="AF157" s="31" t="s">
        <v>144</v>
      </c>
      <c r="AG157" s="31" t="s">
        <v>144</v>
      </c>
      <c r="AH157" s="31" t="s">
        <v>684</v>
      </c>
      <c r="AI157" s="31" t="s">
        <v>698</v>
      </c>
      <c r="AJ157" s="31" t="s">
        <v>144</v>
      </c>
      <c r="AK157" s="31" t="s">
        <v>144</v>
      </c>
      <c r="AL157" s="31" t="s">
        <v>201</v>
      </c>
      <c r="AM157" s="31" t="s">
        <v>144</v>
      </c>
      <c r="AN157" s="31" t="s">
        <v>164</v>
      </c>
      <c r="AO157" s="31" t="s">
        <v>144</v>
      </c>
    </row>
    <row r="158" spans="5:44" ht="15" customHeight="1" x14ac:dyDescent="0.3">
      <c r="E158" s="31" t="s">
        <v>288</v>
      </c>
      <c r="F158" s="31" t="s">
        <v>140</v>
      </c>
      <c r="G158" s="31" t="s">
        <v>198</v>
      </c>
      <c r="H158" s="31" t="s">
        <v>280</v>
      </c>
      <c r="I158" s="31" t="s">
        <v>594</v>
      </c>
      <c r="J158" s="31" t="s">
        <v>673</v>
      </c>
      <c r="K158" s="31" t="s">
        <v>700</v>
      </c>
      <c r="L158" s="31" t="s">
        <v>683</v>
      </c>
      <c r="M158" s="31" t="s">
        <v>611</v>
      </c>
      <c r="O158" s="31">
        <v>16</v>
      </c>
      <c r="P158" s="31" t="s">
        <v>144</v>
      </c>
      <c r="Q158" s="31" t="s">
        <v>274</v>
      </c>
      <c r="R158" s="31" t="s">
        <v>709</v>
      </c>
      <c r="S158" s="31" t="s">
        <v>144</v>
      </c>
      <c r="T158" s="31" t="s">
        <v>144</v>
      </c>
      <c r="U158" s="31" t="s">
        <v>144</v>
      </c>
      <c r="V158" s="31" t="s">
        <v>144</v>
      </c>
      <c r="W158" s="31" t="s">
        <v>144</v>
      </c>
      <c r="X158" s="31" t="s">
        <v>144</v>
      </c>
      <c r="Y158" s="31" t="s">
        <v>144</v>
      </c>
      <c r="Z158" s="31" t="s">
        <v>144</v>
      </c>
      <c r="AA158" s="31" t="s">
        <v>144</v>
      </c>
      <c r="AB158" s="31" t="s">
        <v>144</v>
      </c>
      <c r="AC158" s="31" t="s">
        <v>144</v>
      </c>
      <c r="AD158" s="31" t="s">
        <v>144</v>
      </c>
      <c r="AE158" s="31" t="s">
        <v>144</v>
      </c>
      <c r="AF158" s="31" t="s">
        <v>144</v>
      </c>
      <c r="AG158" s="31" t="s">
        <v>144</v>
      </c>
      <c r="AH158" s="31" t="s">
        <v>684</v>
      </c>
      <c r="AI158" s="31" t="s">
        <v>698</v>
      </c>
      <c r="AJ158" s="31" t="s">
        <v>144</v>
      </c>
      <c r="AK158" s="31" t="s">
        <v>144</v>
      </c>
      <c r="AL158" s="31" t="s">
        <v>201</v>
      </c>
      <c r="AM158" s="31" t="s">
        <v>144</v>
      </c>
      <c r="AN158" s="31" t="s">
        <v>164</v>
      </c>
      <c r="AO158" s="31" t="s">
        <v>144</v>
      </c>
    </row>
    <row r="159" spans="5:44" ht="15" customHeight="1" x14ac:dyDescent="0.3">
      <c r="E159" s="31" t="s">
        <v>288</v>
      </c>
      <c r="F159" s="31" t="s">
        <v>140</v>
      </c>
      <c r="G159" s="31" t="s">
        <v>198</v>
      </c>
      <c r="H159" s="31" t="s">
        <v>280</v>
      </c>
      <c r="I159" s="31" t="s">
        <v>594</v>
      </c>
      <c r="J159" s="31" t="s">
        <v>675</v>
      </c>
      <c r="K159" s="31" t="s">
        <v>703</v>
      </c>
      <c r="L159" s="31" t="s">
        <v>683</v>
      </c>
      <c r="M159" s="31" t="s">
        <v>611</v>
      </c>
      <c r="O159" s="31">
        <v>16</v>
      </c>
      <c r="P159" s="31" t="s">
        <v>144</v>
      </c>
      <c r="Q159" s="31" t="s">
        <v>274</v>
      </c>
      <c r="R159" s="31" t="s">
        <v>709</v>
      </c>
      <c r="S159" s="31" t="s">
        <v>144</v>
      </c>
      <c r="T159" s="31" t="s">
        <v>144</v>
      </c>
      <c r="U159" s="31" t="s">
        <v>144</v>
      </c>
      <c r="V159" s="31" t="s">
        <v>144</v>
      </c>
      <c r="W159" s="31" t="s">
        <v>144</v>
      </c>
      <c r="X159" s="31" t="s">
        <v>144</v>
      </c>
      <c r="Y159" s="31" t="s">
        <v>144</v>
      </c>
      <c r="Z159" s="31" t="s">
        <v>144</v>
      </c>
      <c r="AA159" s="31" t="s">
        <v>144</v>
      </c>
      <c r="AB159" s="31" t="s">
        <v>144</v>
      </c>
      <c r="AC159" s="31" t="s">
        <v>144</v>
      </c>
      <c r="AD159" s="31" t="s">
        <v>144</v>
      </c>
      <c r="AE159" s="31" t="s">
        <v>144</v>
      </c>
      <c r="AF159" s="31" t="s">
        <v>144</v>
      </c>
      <c r="AG159" s="31" t="s">
        <v>144</v>
      </c>
      <c r="AH159" s="31" t="s">
        <v>684</v>
      </c>
      <c r="AI159" s="31" t="s">
        <v>698</v>
      </c>
      <c r="AJ159" s="31" t="s">
        <v>144</v>
      </c>
      <c r="AK159" s="31" t="s">
        <v>144</v>
      </c>
      <c r="AL159" s="31" t="s">
        <v>201</v>
      </c>
      <c r="AM159" s="31" t="s">
        <v>144</v>
      </c>
      <c r="AN159" s="31" t="s">
        <v>164</v>
      </c>
      <c r="AO159" s="31" t="s">
        <v>144</v>
      </c>
    </row>
    <row r="160" spans="5:44" ht="15" customHeight="1" x14ac:dyDescent="0.3">
      <c r="E160" s="31" t="s">
        <v>288</v>
      </c>
      <c r="F160" s="31" t="s">
        <v>140</v>
      </c>
      <c r="G160" s="31" t="s">
        <v>198</v>
      </c>
      <c r="H160" s="31" t="s">
        <v>280</v>
      </c>
      <c r="I160" s="31" t="s">
        <v>594</v>
      </c>
      <c r="J160" s="31" t="s">
        <v>675</v>
      </c>
      <c r="K160" s="31" t="s">
        <v>704</v>
      </c>
      <c r="L160" s="31" t="s">
        <v>683</v>
      </c>
      <c r="M160" s="31" t="s">
        <v>611</v>
      </c>
      <c r="O160" s="31">
        <v>16</v>
      </c>
      <c r="P160" s="31" t="s">
        <v>144</v>
      </c>
      <c r="Q160" s="31" t="s">
        <v>274</v>
      </c>
      <c r="R160" s="31" t="s">
        <v>709</v>
      </c>
      <c r="S160" s="31" t="s">
        <v>144</v>
      </c>
      <c r="T160" s="31" t="s">
        <v>144</v>
      </c>
      <c r="U160" s="31" t="s">
        <v>144</v>
      </c>
      <c r="V160" s="31" t="s">
        <v>144</v>
      </c>
      <c r="W160" s="31" t="s">
        <v>144</v>
      </c>
      <c r="X160" s="31" t="s">
        <v>144</v>
      </c>
      <c r="Y160" s="31" t="s">
        <v>144</v>
      </c>
      <c r="Z160" s="31" t="s">
        <v>144</v>
      </c>
      <c r="AA160" s="31" t="s">
        <v>144</v>
      </c>
      <c r="AB160" s="31" t="s">
        <v>144</v>
      </c>
      <c r="AC160" s="31" t="s">
        <v>144</v>
      </c>
      <c r="AD160" s="31" t="s">
        <v>144</v>
      </c>
      <c r="AE160" s="31" t="s">
        <v>144</v>
      </c>
      <c r="AF160" s="31" t="s">
        <v>144</v>
      </c>
      <c r="AG160" s="31" t="s">
        <v>144</v>
      </c>
      <c r="AH160" s="31" t="s">
        <v>684</v>
      </c>
      <c r="AI160" s="31" t="s">
        <v>698</v>
      </c>
      <c r="AJ160" s="31" t="s">
        <v>144</v>
      </c>
      <c r="AK160" s="31" t="s">
        <v>144</v>
      </c>
      <c r="AL160" s="31" t="s">
        <v>201</v>
      </c>
      <c r="AM160" s="31" t="s">
        <v>144</v>
      </c>
      <c r="AN160" s="31" t="s">
        <v>164</v>
      </c>
      <c r="AO160" s="31" t="s">
        <v>144</v>
      </c>
    </row>
    <row r="161" spans="5:41" ht="15" customHeight="1" x14ac:dyDescent="0.3">
      <c r="E161" s="31" t="s">
        <v>288</v>
      </c>
      <c r="F161" s="31" t="s">
        <v>140</v>
      </c>
      <c r="G161" s="31" t="s">
        <v>198</v>
      </c>
      <c r="H161" s="31" t="s">
        <v>280</v>
      </c>
      <c r="I161" s="31" t="s">
        <v>594</v>
      </c>
      <c r="J161" s="31" t="s">
        <v>675</v>
      </c>
      <c r="K161" s="31" t="s">
        <v>705</v>
      </c>
      <c r="L161" s="31" t="s">
        <v>683</v>
      </c>
      <c r="M161" s="31" t="s">
        <v>611</v>
      </c>
      <c r="O161" s="31">
        <v>16</v>
      </c>
      <c r="P161" s="31" t="s">
        <v>144</v>
      </c>
      <c r="Q161" s="31" t="s">
        <v>274</v>
      </c>
      <c r="R161" s="31" t="s">
        <v>709</v>
      </c>
      <c r="S161" s="31" t="s">
        <v>144</v>
      </c>
      <c r="T161" s="31" t="s">
        <v>144</v>
      </c>
      <c r="U161" s="31" t="s">
        <v>144</v>
      </c>
      <c r="V161" s="31" t="s">
        <v>144</v>
      </c>
      <c r="W161" s="31" t="s">
        <v>144</v>
      </c>
      <c r="X161" s="31" t="s">
        <v>144</v>
      </c>
      <c r="Y161" s="31" t="s">
        <v>144</v>
      </c>
      <c r="Z161" s="31" t="s">
        <v>144</v>
      </c>
      <c r="AA161" s="31" t="s">
        <v>144</v>
      </c>
      <c r="AB161" s="31" t="s">
        <v>144</v>
      </c>
      <c r="AC161" s="31" t="s">
        <v>144</v>
      </c>
      <c r="AD161" s="31" t="s">
        <v>144</v>
      </c>
      <c r="AE161" s="31" t="s">
        <v>144</v>
      </c>
      <c r="AF161" s="31" t="s">
        <v>144</v>
      </c>
      <c r="AG161" s="31" t="s">
        <v>144</v>
      </c>
      <c r="AH161" s="31" t="s">
        <v>684</v>
      </c>
      <c r="AI161" s="31" t="s">
        <v>698</v>
      </c>
      <c r="AJ161" s="31" t="s">
        <v>144</v>
      </c>
      <c r="AK161" s="31" t="s">
        <v>144</v>
      </c>
      <c r="AL161" s="31" t="s">
        <v>201</v>
      </c>
      <c r="AM161" s="31" t="s">
        <v>144</v>
      </c>
      <c r="AN161" s="31" t="s">
        <v>164</v>
      </c>
      <c r="AO161" s="31" t="s">
        <v>144</v>
      </c>
    </row>
    <row r="162" spans="5:41" ht="15" customHeight="1" x14ac:dyDescent="0.3">
      <c r="E162" s="31" t="s">
        <v>288</v>
      </c>
      <c r="F162" s="31" t="s">
        <v>140</v>
      </c>
      <c r="G162" s="31" t="s">
        <v>198</v>
      </c>
      <c r="H162" s="31" t="s">
        <v>280</v>
      </c>
      <c r="I162" s="31" t="s">
        <v>594</v>
      </c>
      <c r="J162" s="31" t="s">
        <v>677</v>
      </c>
      <c r="K162" s="31" t="s">
        <v>706</v>
      </c>
      <c r="L162" s="31" t="s">
        <v>683</v>
      </c>
      <c r="M162" s="31" t="s">
        <v>611</v>
      </c>
      <c r="O162" s="31">
        <v>16</v>
      </c>
      <c r="P162" s="31" t="s">
        <v>144</v>
      </c>
      <c r="Q162" s="31" t="s">
        <v>274</v>
      </c>
      <c r="R162" s="31" t="s">
        <v>709</v>
      </c>
      <c r="S162" s="31" t="s">
        <v>144</v>
      </c>
      <c r="T162" s="31" t="s">
        <v>144</v>
      </c>
      <c r="U162" s="31" t="s">
        <v>144</v>
      </c>
      <c r="V162" s="31" t="s">
        <v>144</v>
      </c>
      <c r="W162" s="31" t="s">
        <v>144</v>
      </c>
      <c r="X162" s="31" t="s">
        <v>144</v>
      </c>
      <c r="Y162" s="31" t="s">
        <v>144</v>
      </c>
      <c r="Z162" s="31" t="s">
        <v>144</v>
      </c>
      <c r="AA162" s="31" t="s">
        <v>144</v>
      </c>
      <c r="AB162" s="31" t="s">
        <v>144</v>
      </c>
      <c r="AC162" s="31" t="s">
        <v>144</v>
      </c>
      <c r="AD162" s="31" t="s">
        <v>144</v>
      </c>
      <c r="AE162" s="31" t="s">
        <v>144</v>
      </c>
      <c r="AF162" s="31" t="s">
        <v>144</v>
      </c>
      <c r="AG162" s="31" t="s">
        <v>144</v>
      </c>
      <c r="AH162" s="31" t="s">
        <v>684</v>
      </c>
      <c r="AI162" s="31" t="s">
        <v>698</v>
      </c>
      <c r="AJ162" s="31" t="s">
        <v>144</v>
      </c>
      <c r="AK162" s="31" t="s">
        <v>144</v>
      </c>
      <c r="AL162" s="31" t="s">
        <v>201</v>
      </c>
      <c r="AM162" s="31" t="s">
        <v>144</v>
      </c>
      <c r="AN162" s="31" t="s">
        <v>164</v>
      </c>
      <c r="AO162" s="31" t="s">
        <v>144</v>
      </c>
    </row>
    <row r="163" spans="5:41" ht="15" customHeight="1" x14ac:dyDescent="0.3">
      <c r="E163" s="31" t="s">
        <v>288</v>
      </c>
      <c r="F163" s="31" t="s">
        <v>140</v>
      </c>
      <c r="G163" s="31" t="s">
        <v>198</v>
      </c>
      <c r="H163" s="31" t="s">
        <v>280</v>
      </c>
      <c r="I163" s="31" t="s">
        <v>594</v>
      </c>
      <c r="J163" s="31" t="s">
        <v>677</v>
      </c>
      <c r="K163" s="31" t="s">
        <v>707</v>
      </c>
      <c r="L163" s="31" t="s">
        <v>683</v>
      </c>
      <c r="M163" s="31" t="s">
        <v>611</v>
      </c>
      <c r="O163" s="31">
        <v>16</v>
      </c>
      <c r="P163" s="31" t="s">
        <v>144</v>
      </c>
      <c r="Q163" s="31" t="s">
        <v>274</v>
      </c>
      <c r="R163" s="31" t="s">
        <v>709</v>
      </c>
      <c r="S163" s="31" t="s">
        <v>144</v>
      </c>
      <c r="T163" s="31" t="s">
        <v>144</v>
      </c>
      <c r="U163" s="31" t="s">
        <v>144</v>
      </c>
      <c r="V163" s="31" t="s">
        <v>144</v>
      </c>
      <c r="W163" s="31" t="s">
        <v>144</v>
      </c>
      <c r="X163" s="31" t="s">
        <v>144</v>
      </c>
      <c r="Y163" s="31" t="s">
        <v>144</v>
      </c>
      <c r="Z163" s="31" t="s">
        <v>144</v>
      </c>
      <c r="AA163" s="31" t="s">
        <v>144</v>
      </c>
      <c r="AB163" s="31" t="s">
        <v>144</v>
      </c>
      <c r="AC163" s="31" t="s">
        <v>144</v>
      </c>
      <c r="AD163" s="31" t="s">
        <v>144</v>
      </c>
      <c r="AE163" s="31" t="s">
        <v>144</v>
      </c>
      <c r="AF163" s="31" t="s">
        <v>144</v>
      </c>
      <c r="AG163" s="31" t="s">
        <v>144</v>
      </c>
      <c r="AH163" s="31" t="s">
        <v>684</v>
      </c>
      <c r="AI163" s="31" t="s">
        <v>698</v>
      </c>
      <c r="AJ163" s="31" t="s">
        <v>144</v>
      </c>
      <c r="AK163" s="31" t="s">
        <v>144</v>
      </c>
      <c r="AL163" s="31" t="s">
        <v>201</v>
      </c>
      <c r="AM163" s="31" t="s">
        <v>144</v>
      </c>
      <c r="AN163" s="31" t="s">
        <v>164</v>
      </c>
      <c r="AO163" s="31" t="s">
        <v>144</v>
      </c>
    </row>
    <row r="164" spans="5:41" ht="15" customHeight="1" x14ac:dyDescent="0.3">
      <c r="E164" s="31" t="s">
        <v>288</v>
      </c>
      <c r="F164" s="31" t="s">
        <v>140</v>
      </c>
      <c r="G164" s="31" t="s">
        <v>198</v>
      </c>
      <c r="H164" s="31" t="s">
        <v>280</v>
      </c>
      <c r="I164" s="31" t="s">
        <v>594</v>
      </c>
      <c r="J164" s="31" t="s">
        <v>677</v>
      </c>
      <c r="K164" s="31" t="s">
        <v>708</v>
      </c>
      <c r="L164" s="31" t="s">
        <v>683</v>
      </c>
      <c r="M164" s="31" t="s">
        <v>611</v>
      </c>
      <c r="O164" s="31">
        <v>16</v>
      </c>
      <c r="P164" s="31" t="s">
        <v>144</v>
      </c>
      <c r="Q164" s="31" t="s">
        <v>274</v>
      </c>
      <c r="R164" s="31" t="s">
        <v>709</v>
      </c>
      <c r="S164" s="31" t="s">
        <v>144</v>
      </c>
      <c r="T164" s="31" t="s">
        <v>144</v>
      </c>
      <c r="U164" s="31" t="s">
        <v>144</v>
      </c>
      <c r="V164" s="31" t="s">
        <v>144</v>
      </c>
      <c r="W164" s="31" t="s">
        <v>144</v>
      </c>
      <c r="X164" s="31" t="s">
        <v>144</v>
      </c>
      <c r="Y164" s="31" t="s">
        <v>144</v>
      </c>
      <c r="Z164" s="31" t="s">
        <v>144</v>
      </c>
      <c r="AA164" s="31" t="s">
        <v>144</v>
      </c>
      <c r="AB164" s="31" t="s">
        <v>144</v>
      </c>
      <c r="AC164" s="31" t="s">
        <v>144</v>
      </c>
      <c r="AD164" s="31" t="s">
        <v>144</v>
      </c>
      <c r="AE164" s="31" t="s">
        <v>144</v>
      </c>
      <c r="AF164" s="31" t="s">
        <v>144</v>
      </c>
      <c r="AG164" s="31" t="s">
        <v>144</v>
      </c>
      <c r="AH164" s="31" t="s">
        <v>684</v>
      </c>
      <c r="AI164" s="31" t="s">
        <v>698</v>
      </c>
      <c r="AJ164" s="31" t="s">
        <v>144</v>
      </c>
      <c r="AK164" s="31" t="s">
        <v>144</v>
      </c>
      <c r="AL164" s="31" t="s">
        <v>201</v>
      </c>
      <c r="AM164" s="31" t="s">
        <v>144</v>
      </c>
      <c r="AN164" s="31" t="s">
        <v>164</v>
      </c>
      <c r="AO164" s="31" t="s">
        <v>144</v>
      </c>
    </row>
    <row r="181" spans="18:18" s="31" customFormat="1" ht="15" customHeight="1" x14ac:dyDescent="0.3"/>
    <row r="182" spans="18:18" s="31" customFormat="1" ht="15" customHeight="1" x14ac:dyDescent="0.3">
      <c r="R182" s="376"/>
    </row>
    <row r="183" spans="18:18" s="31" customFormat="1" ht="15" customHeight="1" x14ac:dyDescent="0.3">
      <c r="R183" s="376"/>
    </row>
    <row r="184" spans="18:18" s="31" customFormat="1" ht="15" customHeight="1" x14ac:dyDescent="0.3">
      <c r="R184" s="376"/>
    </row>
    <row r="185" spans="18:18" s="31" customFormat="1" ht="15" customHeight="1" x14ac:dyDescent="0.3">
      <c r="R185" s="376"/>
    </row>
    <row r="186" spans="18:18" s="31" customFormat="1" ht="15" customHeight="1" x14ac:dyDescent="0.3">
      <c r="R186" s="376"/>
    </row>
    <row r="187" spans="18:18" s="31" customFormat="1" ht="15" customHeight="1" x14ac:dyDescent="0.3"/>
    <row r="188" spans="18:18" s="31" customFormat="1" ht="15" customHeight="1" x14ac:dyDescent="0.3"/>
    <row r="189" spans="18:18" s="31" customFormat="1" ht="15" customHeight="1" x14ac:dyDescent="0.3"/>
    <row r="190" spans="18:18" s="31" customFormat="1" ht="15" customHeight="1" x14ac:dyDescent="0.3"/>
    <row r="191" spans="18:18" s="31" customFormat="1" ht="15" customHeight="1" x14ac:dyDescent="0.3"/>
    <row r="192" spans="18:18" s="31" customFormat="1" ht="15" customHeight="1" x14ac:dyDescent="0.3"/>
    <row r="193" s="31" customFormat="1" ht="15" customHeight="1" x14ac:dyDescent="0.3"/>
    <row r="194" s="31" customFormat="1" ht="15" customHeight="1" x14ac:dyDescent="0.3"/>
    <row r="195" s="31" customFormat="1" ht="15" customHeight="1" x14ac:dyDescent="0.3"/>
    <row r="196" s="31" customFormat="1" ht="15" customHeight="1" x14ac:dyDescent="0.3"/>
    <row r="197" s="31" customFormat="1" ht="15" customHeight="1" x14ac:dyDescent="0.3"/>
    <row r="198" s="31" customFormat="1" ht="15" customHeight="1" x14ac:dyDescent="0.3"/>
    <row r="199" s="31" customFormat="1" ht="15" customHeight="1" x14ac:dyDescent="0.3"/>
    <row r="200" s="31" customFormat="1" ht="15" customHeight="1" x14ac:dyDescent="0.3"/>
    <row r="201" s="31" customFormat="1" ht="15" customHeight="1" x14ac:dyDescent="0.3"/>
    <row r="202" s="31" customFormat="1" ht="15" customHeight="1" x14ac:dyDescent="0.3"/>
    <row r="203" s="31" customFormat="1" ht="15" customHeight="1" x14ac:dyDescent="0.3"/>
    <row r="204" s="31" customFormat="1" ht="15" customHeight="1" x14ac:dyDescent="0.3"/>
    <row r="205" s="31" customFormat="1" ht="15" customHeight="1" x14ac:dyDescent="0.3"/>
    <row r="206" s="31" customFormat="1" ht="15" customHeight="1" x14ac:dyDescent="0.3"/>
    <row r="207" s="31" customFormat="1" ht="15" customHeight="1" x14ac:dyDescent="0.3"/>
    <row r="208" s="31" customFormat="1" ht="15" customHeight="1" x14ac:dyDescent="0.3"/>
    <row r="209" s="31" customFormat="1" ht="15" customHeight="1" x14ac:dyDescent="0.3"/>
    <row r="210" s="31" customFormat="1" ht="15" customHeight="1" x14ac:dyDescent="0.3"/>
    <row r="211" s="31" customFormat="1" ht="15" customHeight="1" x14ac:dyDescent="0.3"/>
    <row r="212" s="31" customFormat="1" ht="15" customHeight="1" x14ac:dyDescent="0.3"/>
    <row r="213" s="31" customFormat="1" ht="15" customHeight="1" x14ac:dyDescent="0.3"/>
    <row r="214" s="31" customFormat="1" ht="15" customHeight="1" x14ac:dyDescent="0.3"/>
    <row r="215" s="31" customFormat="1" ht="15" customHeight="1" x14ac:dyDescent="0.3"/>
    <row r="216" s="31" customFormat="1" ht="15" customHeight="1" x14ac:dyDescent="0.3"/>
    <row r="217" s="31" customFormat="1" ht="15" customHeight="1" x14ac:dyDescent="0.3"/>
  </sheetData>
  <phoneticPr fontId="5"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CFAA-410A-41C6-AACD-A3C0E1178919}">
  <dimension ref="A1:AA43"/>
  <sheetViews>
    <sheetView topLeftCell="D1" zoomScale="80" zoomScaleNormal="80" workbookViewId="0">
      <pane xSplit="2" ySplit="4" topLeftCell="P5" activePane="bottomRight" state="frozen"/>
      <selection activeCell="D1" sqref="D1"/>
      <selection pane="topRight" activeCell="F1" sqref="F1"/>
      <selection pane="bottomLeft" activeCell="D5" sqref="D5"/>
      <selection pane="bottomRight" activeCell="P16" sqref="P16"/>
    </sheetView>
  </sheetViews>
  <sheetFormatPr defaultRowHeight="14.4" x14ac:dyDescent="0.3"/>
  <cols>
    <col min="5" max="5" width="35.6640625" bestFit="1" customWidth="1"/>
    <col min="6" max="6" width="23.5546875" bestFit="1" customWidth="1"/>
    <col min="7" max="7" width="15.6640625" bestFit="1" customWidth="1"/>
    <col min="8" max="8" width="14.6640625" bestFit="1" customWidth="1"/>
    <col min="9" max="9" width="10.5546875" customWidth="1"/>
    <col min="10" max="10" width="11.33203125" customWidth="1"/>
    <col min="11" max="11" width="11.44140625" customWidth="1"/>
    <col min="12" max="12" width="18.109375" customWidth="1"/>
    <col min="13" max="13" width="20.5546875" customWidth="1"/>
    <col min="14" max="14" width="16.88671875" customWidth="1"/>
    <col min="15" max="15" width="136.88671875" bestFit="1" customWidth="1"/>
    <col min="16" max="16" width="191.109375" customWidth="1"/>
    <col min="17" max="17" width="23" customWidth="1"/>
    <col min="18" max="18" width="24.33203125" customWidth="1"/>
    <col min="19" max="19" width="24.33203125" bestFit="1" customWidth="1"/>
    <col min="20" max="20" width="22" bestFit="1" customWidth="1"/>
    <col min="21" max="21" width="18.109375" bestFit="1" customWidth="1"/>
    <col min="22" max="22" width="31.5546875" bestFit="1" customWidth="1"/>
    <col min="23" max="23" width="31.5546875" customWidth="1"/>
    <col min="24" max="24" width="29.44140625" bestFit="1" customWidth="1"/>
    <col min="25" max="25" width="17.6640625" bestFit="1" customWidth="1"/>
    <col min="26" max="26" width="34.33203125" bestFit="1" customWidth="1"/>
    <col min="27" max="27" width="22.109375" customWidth="1"/>
  </cols>
  <sheetData>
    <row r="1" spans="1:27" ht="28.5" customHeight="1" x14ac:dyDescent="0.3">
      <c r="A1" s="19" t="s">
        <v>0</v>
      </c>
      <c r="B1" s="16" t="s">
        <v>52</v>
      </c>
      <c r="C1" s="17" t="s">
        <v>53</v>
      </c>
      <c r="D1" s="17" t="s">
        <v>54</v>
      </c>
      <c r="E1" s="12" t="s">
        <v>55</v>
      </c>
      <c r="F1" s="13" t="s">
        <v>56</v>
      </c>
      <c r="G1" s="12" t="s">
        <v>57</v>
      </c>
      <c r="H1" s="13" t="s">
        <v>58</v>
      </c>
      <c r="I1" s="24" t="s">
        <v>158</v>
      </c>
      <c r="J1" s="24" t="s">
        <v>162</v>
      </c>
      <c r="K1" s="24" t="s">
        <v>159</v>
      </c>
      <c r="L1" s="24" t="s">
        <v>160</v>
      </c>
      <c r="M1" s="24" t="s">
        <v>161</v>
      </c>
      <c r="N1" s="24" t="s">
        <v>161</v>
      </c>
      <c r="O1" s="17" t="s">
        <v>61</v>
      </c>
      <c r="P1" s="13" t="s">
        <v>62</v>
      </c>
      <c r="Q1" s="24" t="s">
        <v>63</v>
      </c>
      <c r="R1" s="13" t="s">
        <v>63</v>
      </c>
      <c r="S1" s="12" t="s">
        <v>64</v>
      </c>
      <c r="T1" s="13" t="s">
        <v>65</v>
      </c>
      <c r="U1" s="12" t="s">
        <v>66</v>
      </c>
      <c r="V1" s="17" t="s">
        <v>67</v>
      </c>
      <c r="W1" s="383" t="s">
        <v>589</v>
      </c>
      <c r="X1" s="13" t="s">
        <v>69</v>
      </c>
      <c r="Y1" s="24" t="s">
        <v>69</v>
      </c>
      <c r="Z1" s="12" t="s">
        <v>70</v>
      </c>
      <c r="AA1" s="12" t="s">
        <v>590</v>
      </c>
    </row>
    <row r="2" spans="1:27" ht="38.25" customHeight="1" x14ac:dyDescent="0.3">
      <c r="A2" s="19" t="s">
        <v>17</v>
      </c>
      <c r="B2" s="1" t="s">
        <v>78</v>
      </c>
      <c r="C2" s="2" t="s">
        <v>79</v>
      </c>
      <c r="D2" s="2"/>
      <c r="E2" s="3" t="s">
        <v>80</v>
      </c>
      <c r="F2" s="4" t="s">
        <v>81</v>
      </c>
      <c r="G2" s="3" t="s">
        <v>82</v>
      </c>
      <c r="H2" s="4" t="s">
        <v>83</v>
      </c>
      <c r="I2" s="25"/>
      <c r="J2" s="25"/>
      <c r="K2" s="25"/>
      <c r="L2" s="25"/>
      <c r="M2" s="25"/>
      <c r="N2" s="25"/>
      <c r="O2" s="2" t="s">
        <v>86</v>
      </c>
      <c r="P2" s="4" t="s">
        <v>87</v>
      </c>
      <c r="Q2" s="25" t="s">
        <v>145</v>
      </c>
      <c r="R2" s="4" t="s">
        <v>88</v>
      </c>
      <c r="S2" s="3" t="s">
        <v>89</v>
      </c>
      <c r="T2" s="4" t="s">
        <v>90</v>
      </c>
      <c r="U2" s="3" t="s">
        <v>91</v>
      </c>
      <c r="V2" s="2" t="s">
        <v>92</v>
      </c>
      <c r="W2" s="2"/>
      <c r="X2" s="4" t="s">
        <v>94</v>
      </c>
      <c r="Y2" s="25" t="s">
        <v>94</v>
      </c>
      <c r="Z2" s="3" t="s">
        <v>95</v>
      </c>
      <c r="AA2" s="3"/>
    </row>
    <row r="3" spans="1:27" ht="39" customHeight="1" x14ac:dyDescent="0.3">
      <c r="A3" s="19" t="s">
        <v>34</v>
      </c>
      <c r="B3" s="1" t="s">
        <v>102</v>
      </c>
      <c r="C3" s="2" t="s">
        <v>103</v>
      </c>
      <c r="D3" s="2"/>
      <c r="E3" s="3" t="s">
        <v>104</v>
      </c>
      <c r="F3" s="4" t="s">
        <v>105</v>
      </c>
      <c r="G3" s="3" t="s">
        <v>106</v>
      </c>
      <c r="H3" s="4" t="s">
        <v>107</v>
      </c>
      <c r="I3" s="25"/>
      <c r="J3" s="25"/>
      <c r="K3" s="25"/>
      <c r="L3" s="25"/>
      <c r="M3" s="25"/>
      <c r="N3" s="25"/>
      <c r="O3" s="2" t="s">
        <v>109</v>
      </c>
      <c r="P3" s="4" t="s">
        <v>110</v>
      </c>
      <c r="Q3" s="25">
        <v>7.5</v>
      </c>
      <c r="R3" s="4" t="s">
        <v>111</v>
      </c>
      <c r="S3" s="3" t="s">
        <v>112</v>
      </c>
      <c r="T3" s="4" t="s">
        <v>113</v>
      </c>
      <c r="U3" s="3" t="s">
        <v>114</v>
      </c>
      <c r="V3" s="2" t="s">
        <v>115</v>
      </c>
      <c r="W3" s="2"/>
      <c r="X3" s="4" t="s">
        <v>567</v>
      </c>
      <c r="Y3" s="25" t="s">
        <v>568</v>
      </c>
      <c r="Z3" s="3" t="s">
        <v>118</v>
      </c>
      <c r="AA3" s="3"/>
    </row>
    <row r="4" spans="1:27" ht="13.5" customHeight="1" x14ac:dyDescent="0.3">
      <c r="A4" s="19" t="s">
        <v>48</v>
      </c>
      <c r="B4" s="5" t="s">
        <v>49</v>
      </c>
      <c r="C4" s="6" t="s">
        <v>49</v>
      </c>
      <c r="D4" s="6"/>
      <c r="E4" s="8" t="s">
        <v>49</v>
      </c>
      <c r="F4" s="9" t="s">
        <v>49</v>
      </c>
      <c r="G4" s="8" t="s">
        <v>49</v>
      </c>
      <c r="H4" s="9" t="s">
        <v>49</v>
      </c>
      <c r="I4" s="30"/>
      <c r="J4" s="30"/>
      <c r="K4" s="30"/>
      <c r="L4" s="30"/>
      <c r="M4" s="30"/>
      <c r="N4" s="30"/>
      <c r="O4" s="7" t="s">
        <v>50</v>
      </c>
      <c r="P4" s="10" t="s">
        <v>50</v>
      </c>
      <c r="Q4" s="26" t="s">
        <v>50</v>
      </c>
      <c r="R4" s="10" t="s">
        <v>50</v>
      </c>
      <c r="S4" s="11" t="s">
        <v>50</v>
      </c>
      <c r="T4" s="10" t="s">
        <v>50</v>
      </c>
      <c r="U4" s="11" t="s">
        <v>50</v>
      </c>
      <c r="V4" s="7" t="s">
        <v>50</v>
      </c>
      <c r="W4" s="7"/>
      <c r="X4" s="10" t="s">
        <v>50</v>
      </c>
      <c r="Y4" s="26" t="s">
        <v>50</v>
      </c>
      <c r="Z4" s="11" t="s">
        <v>50</v>
      </c>
      <c r="AA4" s="11"/>
    </row>
    <row r="5" spans="1:27" s="31" customFormat="1" ht="15" customHeight="1" x14ac:dyDescent="0.3">
      <c r="E5" s="31" t="s">
        <v>213</v>
      </c>
      <c r="F5" s="31" t="s">
        <v>140</v>
      </c>
      <c r="G5" s="31" t="s">
        <v>204</v>
      </c>
      <c r="H5" s="31" t="s">
        <v>205</v>
      </c>
      <c r="I5" s="31" t="s">
        <v>594</v>
      </c>
      <c r="J5" s="31" t="s">
        <v>710</v>
      </c>
      <c r="K5" s="31" t="s">
        <v>144</v>
      </c>
      <c r="L5" s="31" t="s">
        <v>403</v>
      </c>
      <c r="M5" s="31" t="s">
        <v>710</v>
      </c>
      <c r="N5" s="31" t="s">
        <v>144</v>
      </c>
      <c r="O5" s="31" t="s">
        <v>408</v>
      </c>
      <c r="P5" s="31" t="s">
        <v>409</v>
      </c>
      <c r="Q5" s="31" t="s">
        <v>716</v>
      </c>
      <c r="R5" s="372" t="s">
        <v>717</v>
      </c>
      <c r="S5" s="372" t="s">
        <v>718</v>
      </c>
      <c r="T5" s="31" t="s">
        <v>719</v>
      </c>
      <c r="U5" s="374">
        <v>5.0000000000000001E-3</v>
      </c>
      <c r="V5" s="31" t="s">
        <v>206</v>
      </c>
      <c r="W5" s="31" t="s">
        <v>144</v>
      </c>
      <c r="X5" s="31">
        <v>20.5</v>
      </c>
      <c r="Y5" s="31">
        <v>1353</v>
      </c>
      <c r="Z5" s="31" t="s">
        <v>410</v>
      </c>
      <c r="AA5" s="31" t="s">
        <v>144</v>
      </c>
    </row>
    <row r="6" spans="1:27" s="31" customFormat="1" ht="15" customHeight="1" x14ac:dyDescent="0.3">
      <c r="E6" s="31" t="s">
        <v>213</v>
      </c>
      <c r="F6" s="31" t="s">
        <v>140</v>
      </c>
      <c r="G6" s="31" t="s">
        <v>204</v>
      </c>
      <c r="H6" s="31" t="s">
        <v>205</v>
      </c>
      <c r="I6" s="31" t="s">
        <v>594</v>
      </c>
      <c r="J6" s="31" t="s">
        <v>711</v>
      </c>
      <c r="K6" s="31" t="s">
        <v>144</v>
      </c>
      <c r="L6" s="31" t="s">
        <v>403</v>
      </c>
      <c r="M6" s="31" t="s">
        <v>711</v>
      </c>
      <c r="N6" s="31" t="s">
        <v>144</v>
      </c>
      <c r="O6" s="31" t="s">
        <v>408</v>
      </c>
      <c r="P6" s="31" t="s">
        <v>409</v>
      </c>
      <c r="Q6" s="31" t="s">
        <v>716</v>
      </c>
      <c r="R6" s="372" t="s">
        <v>717</v>
      </c>
      <c r="S6" s="372" t="s">
        <v>718</v>
      </c>
      <c r="T6" s="31" t="s">
        <v>719</v>
      </c>
      <c r="U6" s="374">
        <v>5.0000000000000001E-3</v>
      </c>
      <c r="V6" s="31" t="s">
        <v>206</v>
      </c>
      <c r="W6" s="31" t="s">
        <v>144</v>
      </c>
      <c r="X6" s="31">
        <v>20.5</v>
      </c>
      <c r="Y6" s="31">
        <v>1353</v>
      </c>
      <c r="Z6" s="31" t="s">
        <v>410</v>
      </c>
      <c r="AA6" s="31" t="s">
        <v>144</v>
      </c>
    </row>
    <row r="7" spans="1:27" s="31" customFormat="1" ht="15" customHeight="1" x14ac:dyDescent="0.3">
      <c r="E7" s="31" t="s">
        <v>213</v>
      </c>
      <c r="F7" s="31" t="s">
        <v>140</v>
      </c>
      <c r="G7" s="31" t="s">
        <v>204</v>
      </c>
      <c r="H7" s="31" t="s">
        <v>205</v>
      </c>
      <c r="I7" s="31" t="s">
        <v>594</v>
      </c>
      <c r="J7" s="31" t="s">
        <v>712</v>
      </c>
      <c r="K7" s="31" t="s">
        <v>144</v>
      </c>
      <c r="L7" s="31" t="s">
        <v>403</v>
      </c>
      <c r="M7" s="31" t="s">
        <v>712</v>
      </c>
      <c r="N7" s="31" t="s">
        <v>144</v>
      </c>
      <c r="O7" s="31" t="s">
        <v>408</v>
      </c>
      <c r="P7" s="31" t="s">
        <v>409</v>
      </c>
      <c r="Q7" s="31" t="s">
        <v>716</v>
      </c>
      <c r="R7" s="372" t="s">
        <v>717</v>
      </c>
      <c r="S7" s="372" t="s">
        <v>718</v>
      </c>
      <c r="T7" s="31" t="s">
        <v>719</v>
      </c>
      <c r="U7" s="374">
        <v>5.0000000000000001E-3</v>
      </c>
      <c r="V7" s="31" t="s">
        <v>206</v>
      </c>
      <c r="W7" s="31" t="s">
        <v>144</v>
      </c>
      <c r="X7" s="31">
        <v>20.5</v>
      </c>
      <c r="Y7" s="31">
        <v>1353</v>
      </c>
      <c r="Z7" s="31" t="s">
        <v>410</v>
      </c>
      <c r="AA7" s="31" t="s">
        <v>144</v>
      </c>
    </row>
    <row r="8" spans="1:27" s="31" customFormat="1" ht="15" customHeight="1" x14ac:dyDescent="0.3">
      <c r="E8" s="31" t="s">
        <v>213</v>
      </c>
      <c r="F8" s="31" t="s">
        <v>140</v>
      </c>
      <c r="G8" s="31" t="s">
        <v>204</v>
      </c>
      <c r="H8" s="31" t="s">
        <v>205</v>
      </c>
      <c r="I8" s="31" t="s">
        <v>594</v>
      </c>
      <c r="J8" s="31" t="s">
        <v>713</v>
      </c>
      <c r="K8" s="31" t="s">
        <v>144</v>
      </c>
      <c r="L8" s="31" t="s">
        <v>403</v>
      </c>
      <c r="M8" s="31" t="s">
        <v>713</v>
      </c>
      <c r="N8" s="31" t="s">
        <v>144</v>
      </c>
      <c r="O8" s="31" t="s">
        <v>408</v>
      </c>
      <c r="P8" s="31" t="s">
        <v>409</v>
      </c>
      <c r="Q8" s="31" t="s">
        <v>716</v>
      </c>
      <c r="R8" s="372" t="s">
        <v>717</v>
      </c>
      <c r="S8" s="372" t="s">
        <v>718</v>
      </c>
      <c r="T8" s="31" t="s">
        <v>719</v>
      </c>
      <c r="U8" s="374">
        <v>5.0000000000000001E-3</v>
      </c>
      <c r="V8" s="31" t="s">
        <v>206</v>
      </c>
      <c r="W8" s="31" t="s">
        <v>144</v>
      </c>
      <c r="X8" s="31">
        <v>20.5</v>
      </c>
      <c r="Y8" s="31">
        <v>1353</v>
      </c>
      <c r="Z8" s="31" t="s">
        <v>410</v>
      </c>
      <c r="AA8" s="31" t="s">
        <v>144</v>
      </c>
    </row>
    <row r="9" spans="1:27" s="31" customFormat="1" ht="15" customHeight="1" x14ac:dyDescent="0.3">
      <c r="E9" s="31" t="s">
        <v>213</v>
      </c>
      <c r="F9" s="31" t="s">
        <v>140</v>
      </c>
      <c r="G9" s="31" t="s">
        <v>204</v>
      </c>
      <c r="H9" s="31" t="s">
        <v>205</v>
      </c>
      <c r="I9" s="31" t="s">
        <v>594</v>
      </c>
      <c r="J9" s="31" t="s">
        <v>714</v>
      </c>
      <c r="K9" s="31" t="s">
        <v>144</v>
      </c>
      <c r="L9" s="31" t="s">
        <v>403</v>
      </c>
      <c r="M9" s="31" t="s">
        <v>714</v>
      </c>
      <c r="N9" s="31" t="s">
        <v>144</v>
      </c>
      <c r="O9" s="31" t="s">
        <v>408</v>
      </c>
      <c r="P9" s="31" t="s">
        <v>409</v>
      </c>
      <c r="Q9" s="31" t="s">
        <v>716</v>
      </c>
      <c r="R9" s="372" t="s">
        <v>717</v>
      </c>
      <c r="S9" s="372" t="s">
        <v>718</v>
      </c>
      <c r="T9" s="31" t="s">
        <v>719</v>
      </c>
      <c r="U9" s="374">
        <v>5.0000000000000001E-3</v>
      </c>
      <c r="V9" s="31" t="s">
        <v>206</v>
      </c>
      <c r="W9" s="31" t="s">
        <v>144</v>
      </c>
      <c r="X9" s="31">
        <v>20.5</v>
      </c>
      <c r="Y9" s="31">
        <v>1353</v>
      </c>
      <c r="Z9" s="31" t="s">
        <v>410</v>
      </c>
      <c r="AA9" s="31" t="s">
        <v>144</v>
      </c>
    </row>
    <row r="10" spans="1:27" s="31" customFormat="1" ht="15" customHeight="1" x14ac:dyDescent="0.3">
      <c r="E10" s="31" t="s">
        <v>213</v>
      </c>
      <c r="F10" s="31" t="s">
        <v>140</v>
      </c>
      <c r="G10" s="31" t="s">
        <v>204</v>
      </c>
      <c r="H10" s="31" t="s">
        <v>205</v>
      </c>
      <c r="I10" s="31" t="s">
        <v>594</v>
      </c>
      <c r="J10" s="31" t="s">
        <v>715</v>
      </c>
      <c r="K10" s="31" t="s">
        <v>144</v>
      </c>
      <c r="L10" s="31" t="s">
        <v>403</v>
      </c>
      <c r="M10" s="31" t="s">
        <v>715</v>
      </c>
      <c r="N10" s="31" t="s">
        <v>144</v>
      </c>
      <c r="O10" s="31" t="s">
        <v>408</v>
      </c>
      <c r="P10" s="31" t="s">
        <v>409</v>
      </c>
      <c r="Q10" s="31" t="s">
        <v>716</v>
      </c>
      <c r="R10" s="372" t="s">
        <v>717</v>
      </c>
      <c r="S10" s="372" t="s">
        <v>718</v>
      </c>
      <c r="T10" s="31" t="s">
        <v>719</v>
      </c>
      <c r="U10" s="374">
        <v>5.0000000000000001E-3</v>
      </c>
      <c r="V10" s="31" t="s">
        <v>206</v>
      </c>
      <c r="W10" s="31" t="s">
        <v>144</v>
      </c>
      <c r="X10" s="31">
        <v>20.5</v>
      </c>
      <c r="Y10" s="31">
        <v>1353</v>
      </c>
      <c r="Z10" s="31" t="s">
        <v>410</v>
      </c>
      <c r="AA10" s="31" t="s">
        <v>144</v>
      </c>
    </row>
    <row r="11" spans="1:27" s="31" customFormat="1" ht="15" customHeight="1" x14ac:dyDescent="0.3">
      <c r="R11" s="372"/>
      <c r="S11" s="372"/>
      <c r="T11" s="372"/>
      <c r="U11" s="374"/>
    </row>
    <row r="12" spans="1:27" s="31" customFormat="1" ht="15" customHeight="1" x14ac:dyDescent="0.3">
      <c r="E12" s="31" t="s">
        <v>214</v>
      </c>
      <c r="F12" s="31" t="s">
        <v>140</v>
      </c>
      <c r="G12" s="31" t="s">
        <v>720</v>
      </c>
      <c r="H12" s="31" t="s">
        <v>255</v>
      </c>
      <c r="I12" s="31" t="s">
        <v>594</v>
      </c>
      <c r="J12" s="31" t="s">
        <v>721</v>
      </c>
      <c r="K12" s="31" t="s">
        <v>144</v>
      </c>
      <c r="L12" s="31" t="s">
        <v>403</v>
      </c>
      <c r="M12" s="31" t="s">
        <v>721</v>
      </c>
      <c r="N12" s="31" t="s">
        <v>144</v>
      </c>
      <c r="O12" s="31" t="s">
        <v>453</v>
      </c>
      <c r="P12" s="31" t="s">
        <v>454</v>
      </c>
      <c r="Q12" s="372" t="s">
        <v>717</v>
      </c>
      <c r="R12" s="372" t="s">
        <v>459</v>
      </c>
      <c r="S12" s="372" t="s">
        <v>455</v>
      </c>
      <c r="T12" s="31" t="s">
        <v>456</v>
      </c>
      <c r="U12" s="374">
        <v>0.02</v>
      </c>
      <c r="V12" s="31" t="s">
        <v>457</v>
      </c>
      <c r="W12" s="31">
        <v>94</v>
      </c>
      <c r="X12" s="31" t="s">
        <v>144</v>
      </c>
      <c r="Y12" s="31" t="s">
        <v>748</v>
      </c>
      <c r="Z12" s="31" t="s">
        <v>458</v>
      </c>
      <c r="AA12" s="375">
        <v>3095</v>
      </c>
    </row>
    <row r="13" spans="1:27" s="31" customFormat="1" ht="15" customHeight="1" x14ac:dyDescent="0.3">
      <c r="E13" s="31" t="s">
        <v>214</v>
      </c>
      <c r="F13" s="31" t="s">
        <v>140</v>
      </c>
      <c r="G13" s="31" t="s">
        <v>720</v>
      </c>
      <c r="H13" s="31" t="s">
        <v>255</v>
      </c>
      <c r="I13" s="31" t="s">
        <v>594</v>
      </c>
      <c r="J13" s="31" t="s">
        <v>722</v>
      </c>
      <c r="K13" s="31" t="s">
        <v>144</v>
      </c>
      <c r="L13" s="31" t="s">
        <v>403</v>
      </c>
      <c r="M13" s="31" t="s">
        <v>722</v>
      </c>
      <c r="N13" s="31" t="s">
        <v>144</v>
      </c>
      <c r="O13" s="31" t="s">
        <v>453</v>
      </c>
      <c r="P13" s="31" t="s">
        <v>454</v>
      </c>
      <c r="Q13" s="372" t="s">
        <v>735</v>
      </c>
      <c r="R13" s="372" t="s">
        <v>459</v>
      </c>
      <c r="S13" s="31" t="s">
        <v>455</v>
      </c>
      <c r="T13" s="31" t="s">
        <v>456</v>
      </c>
      <c r="U13" s="374">
        <v>0.02</v>
      </c>
      <c r="V13" s="31" t="s">
        <v>457</v>
      </c>
      <c r="W13" s="31">
        <v>94</v>
      </c>
      <c r="X13" s="31" t="s">
        <v>144</v>
      </c>
      <c r="Y13" s="31" t="s">
        <v>748</v>
      </c>
      <c r="Z13" s="31" t="s">
        <v>458</v>
      </c>
      <c r="AA13" s="375">
        <v>3095</v>
      </c>
    </row>
    <row r="14" spans="1:27" s="31" customFormat="1" x14ac:dyDescent="0.3">
      <c r="E14" s="31" t="s">
        <v>214</v>
      </c>
      <c r="F14" s="31" t="s">
        <v>140</v>
      </c>
      <c r="G14" s="31" t="s">
        <v>720</v>
      </c>
      <c r="H14" s="31" t="s">
        <v>255</v>
      </c>
      <c r="I14" s="31" t="s">
        <v>594</v>
      </c>
      <c r="J14" s="31" t="s">
        <v>723</v>
      </c>
      <c r="K14" s="31" t="s">
        <v>144</v>
      </c>
      <c r="L14" s="31" t="s">
        <v>403</v>
      </c>
      <c r="M14" s="31" t="s">
        <v>723</v>
      </c>
      <c r="N14" s="31" t="s">
        <v>144</v>
      </c>
      <c r="O14" s="31" t="s">
        <v>453</v>
      </c>
      <c r="P14" s="31" t="s">
        <v>454</v>
      </c>
      <c r="Q14" s="372" t="s">
        <v>736</v>
      </c>
      <c r="R14" s="372" t="s">
        <v>459</v>
      </c>
      <c r="S14" s="31" t="s">
        <v>455</v>
      </c>
      <c r="T14" s="31" t="s">
        <v>456</v>
      </c>
      <c r="U14" s="374">
        <v>0.02</v>
      </c>
      <c r="V14" s="31" t="s">
        <v>457</v>
      </c>
      <c r="W14" s="31">
        <v>94</v>
      </c>
      <c r="X14" s="31" t="s">
        <v>144</v>
      </c>
      <c r="Y14" s="31" t="s">
        <v>748</v>
      </c>
      <c r="Z14" s="31" t="s">
        <v>458</v>
      </c>
      <c r="AA14" s="375">
        <v>3095</v>
      </c>
    </row>
    <row r="15" spans="1:27" s="31" customFormat="1" ht="15" customHeight="1" x14ac:dyDescent="0.3">
      <c r="E15" s="31" t="s">
        <v>214</v>
      </c>
      <c r="F15" s="31" t="s">
        <v>140</v>
      </c>
      <c r="G15" s="31" t="s">
        <v>720</v>
      </c>
      <c r="H15" s="31" t="s">
        <v>255</v>
      </c>
      <c r="I15" s="31" t="s">
        <v>594</v>
      </c>
      <c r="J15" s="31" t="s">
        <v>724</v>
      </c>
      <c r="K15" s="31" t="s">
        <v>144</v>
      </c>
      <c r="L15" s="31" t="s">
        <v>403</v>
      </c>
      <c r="M15" s="31" t="s">
        <v>724</v>
      </c>
      <c r="N15" s="31" t="s">
        <v>144</v>
      </c>
      <c r="O15" s="31" t="s">
        <v>453</v>
      </c>
      <c r="P15" s="31" t="s">
        <v>454</v>
      </c>
      <c r="Q15" s="372" t="s">
        <v>737</v>
      </c>
      <c r="R15" s="372" t="s">
        <v>459</v>
      </c>
      <c r="S15" s="31" t="s">
        <v>455</v>
      </c>
      <c r="T15" s="31" t="s">
        <v>456</v>
      </c>
      <c r="U15" s="374">
        <v>0.02</v>
      </c>
      <c r="V15" s="31" t="s">
        <v>457</v>
      </c>
      <c r="W15" s="31">
        <v>94</v>
      </c>
      <c r="X15" s="31" t="s">
        <v>144</v>
      </c>
      <c r="Y15" s="31" t="s">
        <v>748</v>
      </c>
      <c r="Z15" s="31" t="s">
        <v>458</v>
      </c>
      <c r="AA15" s="375">
        <v>3095</v>
      </c>
    </row>
    <row r="16" spans="1:27" s="31" customFormat="1" ht="15" customHeight="1" x14ac:dyDescent="0.3">
      <c r="E16" s="31" t="s">
        <v>214</v>
      </c>
      <c r="F16" s="31" t="s">
        <v>140</v>
      </c>
      <c r="G16" s="31" t="s">
        <v>720</v>
      </c>
      <c r="H16" s="31" t="s">
        <v>255</v>
      </c>
      <c r="I16" s="31" t="s">
        <v>594</v>
      </c>
      <c r="J16" s="31" t="s">
        <v>725</v>
      </c>
      <c r="K16" s="31" t="s">
        <v>144</v>
      </c>
      <c r="L16" s="31" t="s">
        <v>403</v>
      </c>
      <c r="M16" s="31" t="s">
        <v>725</v>
      </c>
      <c r="N16" s="31" t="s">
        <v>144</v>
      </c>
      <c r="O16" s="31" t="s">
        <v>453</v>
      </c>
      <c r="P16" s="31" t="s">
        <v>454</v>
      </c>
      <c r="Q16" s="372" t="s">
        <v>738</v>
      </c>
      <c r="R16" s="372" t="s">
        <v>459</v>
      </c>
      <c r="S16" s="31" t="s">
        <v>455</v>
      </c>
      <c r="T16" s="31" t="s">
        <v>456</v>
      </c>
      <c r="U16" s="374">
        <v>0.02</v>
      </c>
      <c r="V16" s="31" t="s">
        <v>457</v>
      </c>
      <c r="W16" s="31">
        <v>94</v>
      </c>
      <c r="X16" s="31" t="s">
        <v>144</v>
      </c>
      <c r="Y16" s="31" t="s">
        <v>748</v>
      </c>
      <c r="Z16" s="31" t="s">
        <v>458</v>
      </c>
      <c r="AA16" s="375">
        <v>3095</v>
      </c>
    </row>
    <row r="17" spans="5:27" s="31" customFormat="1" ht="15" customHeight="1" x14ac:dyDescent="0.3">
      <c r="E17" s="31" t="s">
        <v>214</v>
      </c>
      <c r="F17" s="31" t="s">
        <v>140</v>
      </c>
      <c r="G17" s="31" t="s">
        <v>720</v>
      </c>
      <c r="H17" s="31" t="s">
        <v>255</v>
      </c>
      <c r="I17" s="31" t="s">
        <v>594</v>
      </c>
      <c r="J17" s="31" t="s">
        <v>726</v>
      </c>
      <c r="K17" s="31" t="s">
        <v>144</v>
      </c>
      <c r="L17" s="31" t="s">
        <v>403</v>
      </c>
      <c r="M17" s="31" t="s">
        <v>726</v>
      </c>
      <c r="N17" s="31" t="s">
        <v>144</v>
      </c>
      <c r="O17" s="31" t="s">
        <v>453</v>
      </c>
      <c r="P17" s="31" t="s">
        <v>454</v>
      </c>
      <c r="Q17" s="372" t="s">
        <v>739</v>
      </c>
      <c r="R17" s="372" t="s">
        <v>459</v>
      </c>
      <c r="S17" s="31" t="s">
        <v>455</v>
      </c>
      <c r="T17" s="31" t="s">
        <v>456</v>
      </c>
      <c r="U17" s="374">
        <v>0.02</v>
      </c>
      <c r="V17" s="31" t="s">
        <v>457</v>
      </c>
      <c r="W17" s="31">
        <v>94</v>
      </c>
      <c r="X17" s="31" t="s">
        <v>144</v>
      </c>
      <c r="Y17" s="31" t="s">
        <v>748</v>
      </c>
      <c r="Z17" s="31" t="s">
        <v>458</v>
      </c>
      <c r="AA17" s="375">
        <v>3095</v>
      </c>
    </row>
    <row r="18" spans="5:27" s="31" customFormat="1" ht="15" customHeight="1" x14ac:dyDescent="0.3">
      <c r="E18" s="31" t="s">
        <v>214</v>
      </c>
      <c r="F18" s="31" t="s">
        <v>140</v>
      </c>
      <c r="G18" s="31" t="s">
        <v>720</v>
      </c>
      <c r="H18" s="31" t="s">
        <v>255</v>
      </c>
      <c r="I18" s="31" t="s">
        <v>594</v>
      </c>
      <c r="J18" s="31" t="s">
        <v>727</v>
      </c>
      <c r="K18" s="31" t="s">
        <v>144</v>
      </c>
      <c r="L18" s="31" t="s">
        <v>403</v>
      </c>
      <c r="M18" s="31" t="s">
        <v>727</v>
      </c>
      <c r="N18" s="31" t="s">
        <v>144</v>
      </c>
      <c r="O18" s="31" t="s">
        <v>453</v>
      </c>
      <c r="P18" s="31" t="s">
        <v>454</v>
      </c>
      <c r="Q18" s="372" t="s">
        <v>740</v>
      </c>
      <c r="R18" s="372" t="s">
        <v>459</v>
      </c>
      <c r="S18" s="31" t="s">
        <v>455</v>
      </c>
      <c r="T18" s="31" t="s">
        <v>456</v>
      </c>
      <c r="U18" s="374">
        <v>0.02</v>
      </c>
      <c r="V18" s="31" t="s">
        <v>457</v>
      </c>
      <c r="W18" s="31">
        <v>94</v>
      </c>
      <c r="X18" s="31" t="s">
        <v>144</v>
      </c>
      <c r="Y18" s="31" t="s">
        <v>748</v>
      </c>
      <c r="Z18" s="31" t="s">
        <v>458</v>
      </c>
      <c r="AA18" s="375">
        <v>3095</v>
      </c>
    </row>
    <row r="19" spans="5:27" s="31" customFormat="1" ht="15" customHeight="1" x14ac:dyDescent="0.3">
      <c r="E19" s="31" t="s">
        <v>214</v>
      </c>
      <c r="F19" s="31" t="s">
        <v>140</v>
      </c>
      <c r="G19" s="31" t="s">
        <v>720</v>
      </c>
      <c r="H19" s="31" t="s">
        <v>255</v>
      </c>
      <c r="I19" s="31" t="s">
        <v>594</v>
      </c>
      <c r="J19" s="31" t="s">
        <v>728</v>
      </c>
      <c r="K19" s="31" t="s">
        <v>144</v>
      </c>
      <c r="L19" s="31" t="s">
        <v>403</v>
      </c>
      <c r="M19" s="31" t="s">
        <v>728</v>
      </c>
      <c r="N19" s="31" t="s">
        <v>144</v>
      </c>
      <c r="O19" s="31" t="s">
        <v>453</v>
      </c>
      <c r="P19" s="31" t="s">
        <v>454</v>
      </c>
      <c r="Q19" s="372" t="s">
        <v>741</v>
      </c>
      <c r="R19" s="372" t="s">
        <v>459</v>
      </c>
      <c r="S19" s="31" t="s">
        <v>455</v>
      </c>
      <c r="T19" s="31" t="s">
        <v>456</v>
      </c>
      <c r="U19" s="374">
        <v>0.02</v>
      </c>
      <c r="V19" s="31" t="s">
        <v>457</v>
      </c>
      <c r="W19" s="31">
        <v>94</v>
      </c>
      <c r="X19" s="31" t="s">
        <v>144</v>
      </c>
      <c r="Y19" s="31" t="s">
        <v>748</v>
      </c>
      <c r="Z19" s="31" t="s">
        <v>458</v>
      </c>
      <c r="AA19" s="375">
        <v>3095</v>
      </c>
    </row>
    <row r="20" spans="5:27" s="31" customFormat="1" ht="15" customHeight="1" x14ac:dyDescent="0.3">
      <c r="E20" s="31" t="s">
        <v>214</v>
      </c>
      <c r="F20" s="31" t="s">
        <v>140</v>
      </c>
      <c r="G20" s="31" t="s">
        <v>720</v>
      </c>
      <c r="H20" s="31" t="s">
        <v>255</v>
      </c>
      <c r="I20" s="31" t="s">
        <v>594</v>
      </c>
      <c r="J20" s="31" t="s">
        <v>729</v>
      </c>
      <c r="K20" s="31" t="s">
        <v>144</v>
      </c>
      <c r="L20" s="31" t="s">
        <v>403</v>
      </c>
      <c r="M20" s="31" t="s">
        <v>729</v>
      </c>
      <c r="N20" s="31" t="s">
        <v>144</v>
      </c>
      <c r="O20" s="31" t="s">
        <v>453</v>
      </c>
      <c r="P20" s="31" t="s">
        <v>454</v>
      </c>
      <c r="Q20" s="372" t="s">
        <v>742</v>
      </c>
      <c r="R20" s="372" t="s">
        <v>459</v>
      </c>
      <c r="S20" s="31" t="s">
        <v>455</v>
      </c>
      <c r="T20" s="31" t="s">
        <v>456</v>
      </c>
      <c r="U20" s="374">
        <v>0.02</v>
      </c>
      <c r="V20" s="31" t="s">
        <v>457</v>
      </c>
      <c r="W20" s="31">
        <v>94</v>
      </c>
      <c r="X20" s="31" t="s">
        <v>144</v>
      </c>
      <c r="Y20" s="31" t="s">
        <v>748</v>
      </c>
      <c r="Z20" s="31" t="s">
        <v>458</v>
      </c>
      <c r="AA20" s="375">
        <v>3095</v>
      </c>
    </row>
    <row r="21" spans="5:27" s="31" customFormat="1" ht="15" customHeight="1" x14ac:dyDescent="0.3">
      <c r="E21" s="31" t="s">
        <v>214</v>
      </c>
      <c r="F21" s="31" t="s">
        <v>140</v>
      </c>
      <c r="G21" s="31" t="s">
        <v>720</v>
      </c>
      <c r="H21" s="31" t="s">
        <v>255</v>
      </c>
      <c r="I21" s="31" t="s">
        <v>594</v>
      </c>
      <c r="J21" s="31" t="s">
        <v>730</v>
      </c>
      <c r="K21" s="31" t="s">
        <v>144</v>
      </c>
      <c r="L21" s="31" t="s">
        <v>403</v>
      </c>
      <c r="M21" s="31" t="s">
        <v>730</v>
      </c>
      <c r="N21" s="31" t="s">
        <v>144</v>
      </c>
      <c r="O21" s="31" t="s">
        <v>453</v>
      </c>
      <c r="P21" s="31" t="s">
        <v>454</v>
      </c>
      <c r="Q21" s="372" t="s">
        <v>743</v>
      </c>
      <c r="R21" s="372" t="s">
        <v>459</v>
      </c>
      <c r="S21" s="31" t="s">
        <v>455</v>
      </c>
      <c r="T21" s="31" t="s">
        <v>456</v>
      </c>
      <c r="U21" s="374">
        <v>0.02</v>
      </c>
      <c r="V21" s="31" t="s">
        <v>457</v>
      </c>
      <c r="W21" s="31">
        <v>94</v>
      </c>
      <c r="X21" s="31" t="s">
        <v>144</v>
      </c>
      <c r="Y21" s="31" t="s">
        <v>748</v>
      </c>
      <c r="Z21" s="31" t="s">
        <v>458</v>
      </c>
      <c r="AA21" s="375">
        <v>3095</v>
      </c>
    </row>
    <row r="22" spans="5:27" s="31" customFormat="1" ht="15" customHeight="1" x14ac:dyDescent="0.3">
      <c r="E22" s="31" t="s">
        <v>214</v>
      </c>
      <c r="F22" s="31" t="s">
        <v>140</v>
      </c>
      <c r="G22" s="31" t="s">
        <v>720</v>
      </c>
      <c r="H22" s="31" t="s">
        <v>255</v>
      </c>
      <c r="I22" s="31" t="s">
        <v>594</v>
      </c>
      <c r="J22" s="31" t="s">
        <v>731</v>
      </c>
      <c r="K22" s="31" t="s">
        <v>144</v>
      </c>
      <c r="L22" s="31" t="s">
        <v>403</v>
      </c>
      <c r="M22" s="31" t="s">
        <v>731</v>
      </c>
      <c r="N22" s="31" t="s">
        <v>144</v>
      </c>
      <c r="O22" s="31" t="s">
        <v>453</v>
      </c>
      <c r="P22" s="31" t="s">
        <v>454</v>
      </c>
      <c r="Q22" s="372" t="s">
        <v>744</v>
      </c>
      <c r="R22" s="372" t="s">
        <v>459</v>
      </c>
      <c r="S22" s="31" t="s">
        <v>455</v>
      </c>
      <c r="T22" s="31" t="s">
        <v>456</v>
      </c>
      <c r="U22" s="374">
        <v>0.02</v>
      </c>
      <c r="V22" s="31" t="s">
        <v>457</v>
      </c>
      <c r="W22" s="31">
        <v>94</v>
      </c>
      <c r="X22" s="31" t="s">
        <v>144</v>
      </c>
      <c r="Y22" s="31" t="s">
        <v>748</v>
      </c>
      <c r="Z22" s="31" t="s">
        <v>458</v>
      </c>
      <c r="AA22" s="375">
        <v>3095</v>
      </c>
    </row>
    <row r="23" spans="5:27" s="31" customFormat="1" ht="15" customHeight="1" x14ac:dyDescent="0.3">
      <c r="E23" s="31" t="s">
        <v>214</v>
      </c>
      <c r="F23" s="31" t="s">
        <v>140</v>
      </c>
      <c r="G23" s="31" t="s">
        <v>720</v>
      </c>
      <c r="H23" s="31" t="s">
        <v>255</v>
      </c>
      <c r="I23" s="31" t="s">
        <v>594</v>
      </c>
      <c r="J23" s="31" t="s">
        <v>732</v>
      </c>
      <c r="K23" s="31" t="s">
        <v>144</v>
      </c>
      <c r="L23" s="31" t="s">
        <v>403</v>
      </c>
      <c r="M23" s="31" t="s">
        <v>732</v>
      </c>
      <c r="N23" s="31" t="s">
        <v>144</v>
      </c>
      <c r="O23" s="31" t="s">
        <v>453</v>
      </c>
      <c r="P23" s="31" t="s">
        <v>454</v>
      </c>
      <c r="Q23" s="372" t="s">
        <v>745</v>
      </c>
      <c r="R23" s="372" t="s">
        <v>459</v>
      </c>
      <c r="S23" s="31" t="s">
        <v>455</v>
      </c>
      <c r="T23" s="31" t="s">
        <v>456</v>
      </c>
      <c r="U23" s="374">
        <v>0.02</v>
      </c>
      <c r="V23" s="31" t="s">
        <v>457</v>
      </c>
      <c r="W23" s="31">
        <v>94</v>
      </c>
      <c r="X23" s="31" t="s">
        <v>144</v>
      </c>
      <c r="Y23" s="31" t="s">
        <v>748</v>
      </c>
      <c r="Z23" s="31" t="s">
        <v>458</v>
      </c>
      <c r="AA23" s="375">
        <v>3095</v>
      </c>
    </row>
    <row r="24" spans="5:27" s="31" customFormat="1" ht="15" customHeight="1" x14ac:dyDescent="0.3">
      <c r="E24" s="31" t="s">
        <v>214</v>
      </c>
      <c r="F24" s="31" t="s">
        <v>140</v>
      </c>
      <c r="G24" s="31" t="s">
        <v>720</v>
      </c>
      <c r="H24" s="31" t="s">
        <v>255</v>
      </c>
      <c r="I24" s="31" t="s">
        <v>594</v>
      </c>
      <c r="J24" s="31" t="s">
        <v>733</v>
      </c>
      <c r="K24" s="31" t="s">
        <v>144</v>
      </c>
      <c r="L24" s="31" t="s">
        <v>403</v>
      </c>
      <c r="M24" s="31" t="s">
        <v>733</v>
      </c>
      <c r="N24" s="31" t="s">
        <v>144</v>
      </c>
      <c r="O24" s="31" t="s">
        <v>453</v>
      </c>
      <c r="P24" s="31" t="s">
        <v>454</v>
      </c>
      <c r="Q24" s="372" t="s">
        <v>746</v>
      </c>
      <c r="R24" s="372" t="s">
        <v>459</v>
      </c>
      <c r="S24" s="31" t="s">
        <v>455</v>
      </c>
      <c r="T24" s="31" t="s">
        <v>456</v>
      </c>
      <c r="U24" s="374">
        <v>0.02</v>
      </c>
      <c r="V24" s="31" t="s">
        <v>457</v>
      </c>
      <c r="W24" s="31">
        <v>94</v>
      </c>
      <c r="X24" s="31" t="s">
        <v>144</v>
      </c>
      <c r="Y24" s="31" t="s">
        <v>748</v>
      </c>
      <c r="Z24" s="31" t="s">
        <v>458</v>
      </c>
      <c r="AA24" s="375">
        <v>3095</v>
      </c>
    </row>
    <row r="25" spans="5:27" s="31" customFormat="1" ht="15" customHeight="1" x14ac:dyDescent="0.3">
      <c r="E25" s="31" t="s">
        <v>214</v>
      </c>
      <c r="F25" s="31" t="s">
        <v>140</v>
      </c>
      <c r="G25" s="31" t="s">
        <v>720</v>
      </c>
      <c r="H25" s="31" t="s">
        <v>255</v>
      </c>
      <c r="I25" s="31" t="s">
        <v>594</v>
      </c>
      <c r="J25" s="31" t="s">
        <v>734</v>
      </c>
      <c r="K25" s="31" t="s">
        <v>144</v>
      </c>
      <c r="L25" s="31" t="s">
        <v>403</v>
      </c>
      <c r="M25" s="31" t="s">
        <v>734</v>
      </c>
      <c r="N25" s="31" t="s">
        <v>144</v>
      </c>
      <c r="O25" s="31" t="s">
        <v>453</v>
      </c>
      <c r="P25" s="31" t="s">
        <v>454</v>
      </c>
      <c r="Q25" s="372" t="s">
        <v>747</v>
      </c>
      <c r="R25" s="372" t="s">
        <v>459</v>
      </c>
      <c r="S25" s="31" t="s">
        <v>455</v>
      </c>
      <c r="T25" s="31" t="s">
        <v>456</v>
      </c>
      <c r="U25" s="374">
        <v>0.02</v>
      </c>
      <c r="V25" s="31" t="s">
        <v>457</v>
      </c>
      <c r="W25" s="31">
        <v>94</v>
      </c>
      <c r="X25" s="31" t="s">
        <v>144</v>
      </c>
      <c r="Y25" s="31" t="s">
        <v>748</v>
      </c>
      <c r="Z25" s="31" t="s">
        <v>458</v>
      </c>
      <c r="AA25" s="375">
        <v>3095</v>
      </c>
    </row>
    <row r="26" spans="5:27" s="31" customFormat="1" ht="15" customHeight="1" x14ac:dyDescent="0.3">
      <c r="Q26" s="372"/>
      <c r="R26" s="372"/>
      <c r="U26" s="374"/>
      <c r="AA26" s="375"/>
    </row>
    <row r="27" spans="5:27" s="31" customFormat="1" ht="15" customHeight="1" x14ac:dyDescent="0.3">
      <c r="Q27" s="372"/>
      <c r="R27" s="372"/>
      <c r="U27" s="374"/>
      <c r="AA27" s="375"/>
    </row>
    <row r="28" spans="5:27" s="31" customFormat="1" ht="15" customHeight="1" x14ac:dyDescent="0.3">
      <c r="Q28" s="372"/>
      <c r="R28" s="372"/>
      <c r="U28" s="374"/>
      <c r="AA28" s="375"/>
    </row>
    <row r="29" spans="5:27" s="31" customFormat="1" ht="15" customHeight="1" x14ac:dyDescent="0.3">
      <c r="Q29" s="372"/>
      <c r="R29" s="372"/>
      <c r="U29" s="374"/>
      <c r="AA29" s="375"/>
    </row>
    <row r="30" spans="5:27" s="31" customFormat="1" ht="15" customHeight="1" x14ac:dyDescent="0.3">
      <c r="Q30" s="372"/>
      <c r="R30" s="372"/>
      <c r="U30" s="374"/>
      <c r="AA30" s="375"/>
    </row>
    <row r="31" spans="5:27" s="31" customFormat="1" ht="15" customHeight="1" x14ac:dyDescent="0.3">
      <c r="Q31" s="372"/>
      <c r="R31" s="372"/>
      <c r="U31" s="374"/>
      <c r="AA31" s="375"/>
    </row>
    <row r="32" spans="5:27" s="31" customFormat="1" ht="15" customHeight="1" x14ac:dyDescent="0.3">
      <c r="Q32" s="372"/>
      <c r="R32" s="372"/>
      <c r="U32" s="374"/>
      <c r="AA32" s="375"/>
    </row>
    <row r="33" spans="5:27" s="31" customFormat="1" ht="15" customHeight="1" x14ac:dyDescent="0.3">
      <c r="Q33" s="372"/>
      <c r="R33" s="372"/>
      <c r="U33" s="374"/>
      <c r="AA33" s="375"/>
    </row>
    <row r="34" spans="5:27" s="31" customFormat="1" ht="15" customHeight="1" x14ac:dyDescent="0.3">
      <c r="Q34" s="372"/>
      <c r="R34" s="372"/>
      <c r="U34" s="374"/>
      <c r="AA34" s="375"/>
    </row>
    <row r="35" spans="5:27" s="31" customFormat="1" ht="15" customHeight="1" x14ac:dyDescent="0.3">
      <c r="Q35" s="372"/>
      <c r="R35" s="372"/>
      <c r="U35" s="374"/>
      <c r="AA35" s="375"/>
    </row>
    <row r="36" spans="5:27" s="31" customFormat="1" ht="15" customHeight="1" x14ac:dyDescent="0.3">
      <c r="Q36" s="372"/>
      <c r="R36" s="372"/>
      <c r="U36" s="374"/>
      <c r="AA36" s="375"/>
    </row>
    <row r="37" spans="5:27" s="31" customFormat="1" ht="15" customHeight="1" x14ac:dyDescent="0.3">
      <c r="Q37" s="372"/>
      <c r="R37" s="372"/>
      <c r="U37" s="374"/>
      <c r="AA37" s="375"/>
    </row>
    <row r="38" spans="5:27" s="31" customFormat="1" ht="15" customHeight="1" x14ac:dyDescent="0.3">
      <c r="Q38" s="372"/>
      <c r="R38" s="372"/>
      <c r="U38" s="374"/>
      <c r="AA38" s="375"/>
    </row>
    <row r="39" spans="5:27" s="31" customFormat="1" ht="15" customHeight="1" x14ac:dyDescent="0.3">
      <c r="Q39" s="372"/>
      <c r="R39" s="372"/>
      <c r="U39" s="374"/>
      <c r="AA39" s="375"/>
    </row>
    <row r="40" spans="5:27" s="31" customFormat="1" ht="15" customHeight="1" x14ac:dyDescent="0.3">
      <c r="Q40" s="372"/>
      <c r="R40" s="372"/>
      <c r="U40" s="374"/>
      <c r="AA40" s="375"/>
    </row>
    <row r="41" spans="5:27" s="31" customFormat="1" ht="15" customHeight="1" x14ac:dyDescent="0.3">
      <c r="Q41" s="372"/>
      <c r="R41" s="372"/>
      <c r="S41" s="372"/>
      <c r="T41" s="372"/>
      <c r="U41" s="374"/>
    </row>
    <row r="42" spans="5:27" s="31" customFormat="1" ht="15" customHeight="1" x14ac:dyDescent="0.3">
      <c r="Q42" s="372"/>
      <c r="R42" s="372"/>
      <c r="S42" s="372"/>
      <c r="T42" s="372"/>
      <c r="U42" s="374"/>
    </row>
    <row r="43" spans="5:27" s="31" customFormat="1" ht="15" customHeight="1" x14ac:dyDescent="0.3">
      <c r="E43" s="31" t="s">
        <v>215</v>
      </c>
      <c r="F43" s="31" t="s">
        <v>140</v>
      </c>
      <c r="G43" s="31" t="s">
        <v>208</v>
      </c>
      <c r="H43" s="31" t="s">
        <v>144</v>
      </c>
      <c r="I43" s="31" t="s">
        <v>144</v>
      </c>
      <c r="J43" s="31" t="s">
        <v>144</v>
      </c>
      <c r="K43" s="31" t="s">
        <v>144</v>
      </c>
      <c r="L43" s="31" t="s">
        <v>144</v>
      </c>
      <c r="M43" s="31" t="s">
        <v>144</v>
      </c>
      <c r="N43" s="31" t="s">
        <v>144</v>
      </c>
      <c r="O43" s="31" t="s">
        <v>144</v>
      </c>
      <c r="P43" s="31" t="s">
        <v>144</v>
      </c>
      <c r="Q43" s="31" t="s">
        <v>144</v>
      </c>
      <c r="R43" s="372" t="s">
        <v>144</v>
      </c>
      <c r="S43" s="372" t="s">
        <v>144</v>
      </c>
      <c r="T43" s="372" t="s">
        <v>144</v>
      </c>
      <c r="U43" s="31" t="s">
        <v>144</v>
      </c>
      <c r="V43" s="31" t="s">
        <v>209</v>
      </c>
      <c r="X43" s="31" t="s">
        <v>210</v>
      </c>
      <c r="Y43" s="31" t="s">
        <v>211</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4CD9-38B3-4BF4-8030-3DA03655342D}">
  <dimension ref="A1"/>
  <sheetViews>
    <sheetView topLeftCell="A16" workbookViewId="0">
      <selection activeCell="M30" sqref="M30"/>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CC39-5250-4D25-AD1F-C513EF818794}">
  <dimension ref="B1:G81"/>
  <sheetViews>
    <sheetView topLeftCell="A41" workbookViewId="0">
      <selection activeCell="G15" sqref="G15"/>
    </sheetView>
  </sheetViews>
  <sheetFormatPr defaultRowHeight="14.4" x14ac:dyDescent="0.3"/>
  <cols>
    <col min="1" max="1" width="5" customWidth="1"/>
    <col min="2" max="2" width="15.6640625" customWidth="1"/>
    <col min="3" max="3" width="22.109375" customWidth="1"/>
    <col min="4" max="4" width="13.33203125" customWidth="1"/>
    <col min="5" max="5" width="12.109375" customWidth="1"/>
    <col min="6" max="6" width="30" customWidth="1"/>
    <col min="7" max="7" width="27.44140625" bestFit="1" customWidth="1"/>
  </cols>
  <sheetData>
    <row r="1" spans="2:6" x14ac:dyDescent="0.3">
      <c r="B1" s="273" t="s">
        <v>411</v>
      </c>
    </row>
    <row r="2" spans="2:6" ht="15" thickBot="1" x14ac:dyDescent="0.35">
      <c r="B2" s="273"/>
    </row>
    <row r="3" spans="2:6" x14ac:dyDescent="0.3">
      <c r="B3" s="274" t="s">
        <v>218</v>
      </c>
      <c r="C3" s="275" t="s">
        <v>358</v>
      </c>
      <c r="D3" s="275" t="s">
        <v>219</v>
      </c>
      <c r="E3" s="275" t="s">
        <v>359</v>
      </c>
      <c r="F3" s="276" t="s">
        <v>223</v>
      </c>
    </row>
    <row r="4" spans="2:6" x14ac:dyDescent="0.3">
      <c r="B4" s="277" t="s">
        <v>365</v>
      </c>
      <c r="C4" s="278" t="s">
        <v>366</v>
      </c>
      <c r="D4" s="278" t="s">
        <v>412</v>
      </c>
      <c r="E4" s="278" t="s">
        <v>368</v>
      </c>
      <c r="F4" s="279" t="s">
        <v>236</v>
      </c>
    </row>
    <row r="5" spans="2:6" x14ac:dyDescent="0.3">
      <c r="B5" s="280"/>
      <c r="C5" s="281"/>
      <c r="D5" s="281" t="s">
        <v>237</v>
      </c>
      <c r="E5" s="281" t="s">
        <v>371</v>
      </c>
      <c r="F5" s="282" t="s">
        <v>413</v>
      </c>
    </row>
    <row r="6" spans="2:6" x14ac:dyDescent="0.3">
      <c r="B6" s="41" t="s">
        <v>414</v>
      </c>
      <c r="C6" s="42" t="s">
        <v>415</v>
      </c>
      <c r="D6" s="42" t="s">
        <v>242</v>
      </c>
      <c r="E6" s="42" t="s">
        <v>368</v>
      </c>
      <c r="F6" s="283" t="s">
        <v>243</v>
      </c>
    </row>
    <row r="7" spans="2:6" x14ac:dyDescent="0.3">
      <c r="B7" s="41"/>
      <c r="C7" s="42" t="s">
        <v>416</v>
      </c>
      <c r="D7" s="42" t="s">
        <v>237</v>
      </c>
      <c r="E7" s="42" t="s">
        <v>371</v>
      </c>
      <c r="F7" s="283" t="s">
        <v>413</v>
      </c>
    </row>
    <row r="8" spans="2:6" x14ac:dyDescent="0.3">
      <c r="B8" s="284" t="s">
        <v>384</v>
      </c>
      <c r="C8" s="285" t="s">
        <v>385</v>
      </c>
      <c r="D8" s="285" t="s">
        <v>412</v>
      </c>
      <c r="E8" s="285" t="s">
        <v>368</v>
      </c>
      <c r="F8" s="286" t="s">
        <v>236</v>
      </c>
    </row>
    <row r="9" spans="2:6" x14ac:dyDescent="0.3">
      <c r="B9" s="287" t="s">
        <v>417</v>
      </c>
      <c r="C9" s="288" t="s">
        <v>418</v>
      </c>
      <c r="D9" s="288" t="s">
        <v>235</v>
      </c>
      <c r="E9" s="288" t="s">
        <v>368</v>
      </c>
      <c r="F9" s="289" t="s">
        <v>236</v>
      </c>
    </row>
    <row r="10" spans="2:6" x14ac:dyDescent="0.3">
      <c r="B10" s="41"/>
      <c r="C10" s="42" t="s">
        <v>416</v>
      </c>
      <c r="D10" s="42" t="s">
        <v>237</v>
      </c>
      <c r="E10" s="42" t="s">
        <v>371</v>
      </c>
      <c r="F10" s="283" t="s">
        <v>413</v>
      </c>
    </row>
    <row r="11" spans="2:6" x14ac:dyDescent="0.3">
      <c r="B11" s="277" t="s">
        <v>419</v>
      </c>
      <c r="C11" s="278" t="s">
        <v>420</v>
      </c>
      <c r="D11" s="290" t="s">
        <v>235</v>
      </c>
      <c r="E11" s="290" t="s">
        <v>368</v>
      </c>
      <c r="F11" s="291" t="s">
        <v>236</v>
      </c>
    </row>
    <row r="12" spans="2:6" x14ac:dyDescent="0.3">
      <c r="B12" s="292"/>
      <c r="C12" s="293" t="s">
        <v>416</v>
      </c>
      <c r="D12" s="293" t="s">
        <v>237</v>
      </c>
      <c r="E12" s="293" t="s">
        <v>371</v>
      </c>
      <c r="F12" s="294" t="s">
        <v>413</v>
      </c>
    </row>
    <row r="13" spans="2:6" ht="15" thickBot="1" x14ac:dyDescent="0.35">
      <c r="B13" s="295" t="s">
        <v>392</v>
      </c>
      <c r="C13" s="296" t="s">
        <v>393</v>
      </c>
      <c r="D13" s="297" t="s">
        <v>394</v>
      </c>
      <c r="E13" s="296" t="s">
        <v>368</v>
      </c>
      <c r="F13" s="298" t="s">
        <v>236</v>
      </c>
    </row>
    <row r="16" spans="2:6" ht="23.4" x14ac:dyDescent="0.45">
      <c r="B16" s="299" t="s">
        <v>421</v>
      </c>
      <c r="C16" s="299"/>
    </row>
    <row r="17" spans="2:6" ht="23.4" x14ac:dyDescent="0.45">
      <c r="B17" s="299"/>
      <c r="C17" s="299"/>
    </row>
    <row r="18" spans="2:6" ht="15" thickBot="1" x14ac:dyDescent="0.35">
      <c r="B18" s="273" t="s">
        <v>356</v>
      </c>
    </row>
    <row r="19" spans="2:6" x14ac:dyDescent="0.3">
      <c r="B19" s="300" t="s">
        <v>218</v>
      </c>
      <c r="C19" s="301" t="s">
        <v>358</v>
      </c>
      <c r="D19" s="301" t="s">
        <v>219</v>
      </c>
      <c r="E19" s="301" t="s">
        <v>359</v>
      </c>
      <c r="F19" s="302" t="s">
        <v>223</v>
      </c>
    </row>
    <row r="20" spans="2:6" x14ac:dyDescent="0.3">
      <c r="B20" s="303" t="s">
        <v>360</v>
      </c>
      <c r="C20" s="304" t="s">
        <v>224</v>
      </c>
      <c r="D20" s="305" t="s">
        <v>422</v>
      </c>
      <c r="E20" s="305" t="s">
        <v>226</v>
      </c>
      <c r="F20" s="306" t="s">
        <v>229</v>
      </c>
    </row>
    <row r="21" spans="2:6" x14ac:dyDescent="0.3">
      <c r="B21" s="307"/>
      <c r="C21" s="308" t="s">
        <v>423</v>
      </c>
      <c r="D21" s="305" t="s">
        <v>225</v>
      </c>
      <c r="E21" s="305" t="s">
        <v>370</v>
      </c>
      <c r="F21" s="306" t="s">
        <v>229</v>
      </c>
    </row>
    <row r="22" spans="2:6" x14ac:dyDescent="0.3">
      <c r="B22" s="287" t="s">
        <v>373</v>
      </c>
      <c r="C22" s="288" t="s">
        <v>230</v>
      </c>
      <c r="D22" s="288" t="s">
        <v>231</v>
      </c>
      <c r="E22" s="288" t="s">
        <v>226</v>
      </c>
      <c r="F22" s="289" t="s">
        <v>229</v>
      </c>
    </row>
    <row r="23" spans="2:6" x14ac:dyDescent="0.3">
      <c r="B23" s="41"/>
      <c r="C23" s="42" t="s">
        <v>424</v>
      </c>
      <c r="D23" s="42" t="s">
        <v>235</v>
      </c>
      <c r="E23" s="42" t="s">
        <v>226</v>
      </c>
      <c r="F23" s="283" t="s">
        <v>236</v>
      </c>
    </row>
    <row r="24" spans="2:6" x14ac:dyDescent="0.3">
      <c r="B24" s="309"/>
      <c r="C24" s="310" t="s">
        <v>425</v>
      </c>
      <c r="D24" s="310" t="s">
        <v>237</v>
      </c>
      <c r="E24" s="310" t="s">
        <v>380</v>
      </c>
      <c r="F24" s="311" t="s">
        <v>240</v>
      </c>
    </row>
    <row r="25" spans="2:6" x14ac:dyDescent="0.3">
      <c r="B25" s="312" t="s">
        <v>382</v>
      </c>
      <c r="C25" s="313"/>
      <c r="D25" s="313" t="s">
        <v>242</v>
      </c>
      <c r="E25" s="313" t="s">
        <v>226</v>
      </c>
      <c r="F25" s="314" t="s">
        <v>243</v>
      </c>
    </row>
    <row r="26" spans="2:6" x14ac:dyDescent="0.3">
      <c r="B26" s="315" t="s">
        <v>426</v>
      </c>
      <c r="C26" s="308" t="s">
        <v>425</v>
      </c>
      <c r="D26" s="316" t="s">
        <v>237</v>
      </c>
      <c r="E26" s="316" t="s">
        <v>380</v>
      </c>
      <c r="F26" s="317" t="s">
        <v>240</v>
      </c>
    </row>
    <row r="27" spans="2:6" x14ac:dyDescent="0.3">
      <c r="B27" s="41" t="s">
        <v>389</v>
      </c>
      <c r="C27" s="42" t="s">
        <v>390</v>
      </c>
      <c r="D27" s="42" t="s">
        <v>242</v>
      </c>
      <c r="E27" s="42" t="s">
        <v>226</v>
      </c>
      <c r="F27" s="283" t="s">
        <v>243</v>
      </c>
    </row>
    <row r="28" spans="2:6" x14ac:dyDescent="0.3">
      <c r="B28" s="303" t="s">
        <v>249</v>
      </c>
      <c r="C28" s="304" t="s">
        <v>395</v>
      </c>
      <c r="D28" s="304" t="s">
        <v>242</v>
      </c>
      <c r="E28" s="304" t="s">
        <v>226</v>
      </c>
      <c r="F28" s="318" t="s">
        <v>243</v>
      </c>
    </row>
    <row r="29" spans="2:6" ht="15" thickBot="1" x14ac:dyDescent="0.35">
      <c r="B29" s="319"/>
      <c r="C29" s="320"/>
      <c r="D29" s="320" t="s">
        <v>237</v>
      </c>
      <c r="E29" s="320" t="s">
        <v>380</v>
      </c>
      <c r="F29" s="321" t="s">
        <v>240</v>
      </c>
    </row>
    <row r="32" spans="2:6" ht="15" thickBot="1" x14ac:dyDescent="0.35">
      <c r="B32" s="273" t="s">
        <v>357</v>
      </c>
    </row>
    <row r="33" spans="2:7" x14ac:dyDescent="0.3">
      <c r="B33" s="322" t="s">
        <v>218</v>
      </c>
      <c r="C33" s="323" t="s">
        <v>358</v>
      </c>
      <c r="D33" s="323" t="s">
        <v>219</v>
      </c>
      <c r="E33" s="323" t="s">
        <v>359</v>
      </c>
      <c r="F33" s="276" t="s">
        <v>223</v>
      </c>
    </row>
    <row r="34" spans="2:7" x14ac:dyDescent="0.3">
      <c r="B34" s="324" t="s">
        <v>365</v>
      </c>
      <c r="C34" s="325" t="s">
        <v>366</v>
      </c>
      <c r="D34" s="325" t="s">
        <v>394</v>
      </c>
      <c r="E34" s="325" t="s">
        <v>368</v>
      </c>
      <c r="F34" s="326" t="s">
        <v>236</v>
      </c>
    </row>
    <row r="35" spans="2:7" x14ac:dyDescent="0.3">
      <c r="B35" s="327"/>
      <c r="C35" s="328"/>
      <c r="D35" s="328" t="s">
        <v>237</v>
      </c>
      <c r="E35" s="328" t="s">
        <v>371</v>
      </c>
      <c r="F35" s="329" t="s">
        <v>372</v>
      </c>
    </row>
    <row r="36" spans="2:7" x14ac:dyDescent="0.3">
      <c r="B36" s="330" t="s">
        <v>374</v>
      </c>
      <c r="C36" s="331" t="s">
        <v>375</v>
      </c>
      <c r="D36" s="331" t="s">
        <v>235</v>
      </c>
      <c r="E36" s="331" t="s">
        <v>368</v>
      </c>
      <c r="F36" s="289" t="s">
        <v>376</v>
      </c>
    </row>
    <row r="37" spans="2:7" x14ac:dyDescent="0.3">
      <c r="B37" s="332"/>
      <c r="D37" t="s">
        <v>237</v>
      </c>
      <c r="E37" t="s">
        <v>371</v>
      </c>
      <c r="F37" s="283" t="s">
        <v>376</v>
      </c>
    </row>
    <row r="38" spans="2:7" x14ac:dyDescent="0.3">
      <c r="B38" s="333"/>
      <c r="C38" s="334"/>
      <c r="D38" s="334" t="s">
        <v>381</v>
      </c>
      <c r="E38" s="334" t="s">
        <v>228</v>
      </c>
      <c r="F38" s="311" t="s">
        <v>376</v>
      </c>
    </row>
    <row r="39" spans="2:7" x14ac:dyDescent="0.3">
      <c r="B39" s="335" t="s">
        <v>384</v>
      </c>
      <c r="C39" s="336" t="s">
        <v>385</v>
      </c>
      <c r="D39" s="336" t="s">
        <v>394</v>
      </c>
      <c r="E39" s="336" t="s">
        <v>368</v>
      </c>
      <c r="F39" s="337" t="s">
        <v>236</v>
      </c>
    </row>
    <row r="40" spans="2:7" x14ac:dyDescent="0.3">
      <c r="B40" s="330" t="s">
        <v>417</v>
      </c>
      <c r="C40" s="331" t="s">
        <v>418</v>
      </c>
      <c r="D40" s="331" t="s">
        <v>235</v>
      </c>
      <c r="E40" s="331" t="s">
        <v>368</v>
      </c>
      <c r="F40" s="289" t="s">
        <v>236</v>
      </c>
    </row>
    <row r="41" spans="2:7" x14ac:dyDescent="0.3">
      <c r="B41" s="333"/>
      <c r="C41" s="334" t="s">
        <v>416</v>
      </c>
      <c r="D41" s="334" t="s">
        <v>237</v>
      </c>
      <c r="E41" s="334" t="s">
        <v>371</v>
      </c>
      <c r="F41" s="311" t="s">
        <v>372</v>
      </c>
    </row>
    <row r="42" spans="2:7" ht="15" thickBot="1" x14ac:dyDescent="0.35">
      <c r="B42" s="338" t="s">
        <v>392</v>
      </c>
      <c r="C42" s="339" t="s">
        <v>393</v>
      </c>
      <c r="D42" s="339" t="s">
        <v>394</v>
      </c>
      <c r="E42" s="339" t="s">
        <v>368</v>
      </c>
      <c r="F42" s="340" t="s">
        <v>236</v>
      </c>
    </row>
    <row r="45" spans="2:7" ht="23.4" x14ac:dyDescent="0.45">
      <c r="B45" s="299" t="s">
        <v>427</v>
      </c>
    </row>
    <row r="46" spans="2:7" ht="15" thickBot="1" x14ac:dyDescent="0.35">
      <c r="B46" s="273" t="s">
        <v>426</v>
      </c>
    </row>
    <row r="47" spans="2:7" ht="15" thickBot="1" x14ac:dyDescent="0.35">
      <c r="B47" s="35" t="s">
        <v>218</v>
      </c>
      <c r="C47" s="36" t="s">
        <v>219</v>
      </c>
      <c r="D47" s="36" t="s">
        <v>220</v>
      </c>
      <c r="E47" s="36" t="s">
        <v>221</v>
      </c>
      <c r="F47" s="36" t="s">
        <v>222</v>
      </c>
      <c r="G47" s="37" t="s">
        <v>223</v>
      </c>
    </row>
    <row r="48" spans="2:7" x14ac:dyDescent="0.3">
      <c r="B48" s="38" t="s">
        <v>224</v>
      </c>
      <c r="C48" s="39" t="s">
        <v>225</v>
      </c>
      <c r="D48" s="39" t="s">
        <v>226</v>
      </c>
      <c r="E48" s="39" t="s">
        <v>227</v>
      </c>
      <c r="F48" s="39" t="s">
        <v>228</v>
      </c>
      <c r="G48" s="40" t="s">
        <v>229</v>
      </c>
    </row>
    <row r="49" spans="2:7" x14ac:dyDescent="0.3">
      <c r="B49" s="341" t="s">
        <v>230</v>
      </c>
      <c r="C49" s="342" t="s">
        <v>231</v>
      </c>
      <c r="D49" s="342" t="s">
        <v>228</v>
      </c>
      <c r="E49" s="342" t="s">
        <v>232</v>
      </c>
      <c r="F49" s="342" t="s">
        <v>233</v>
      </c>
      <c r="G49" s="343" t="s">
        <v>229</v>
      </c>
    </row>
    <row r="50" spans="2:7" x14ac:dyDescent="0.3">
      <c r="B50" s="41" t="s">
        <v>234</v>
      </c>
      <c r="C50" s="42" t="s">
        <v>235</v>
      </c>
      <c r="D50" s="342" t="s">
        <v>228</v>
      </c>
      <c r="E50" s="342" t="s">
        <v>232</v>
      </c>
      <c r="F50" s="342" t="s">
        <v>233</v>
      </c>
      <c r="G50" s="43" t="s">
        <v>236</v>
      </c>
    </row>
    <row r="51" spans="2:7" x14ac:dyDescent="0.3">
      <c r="B51" s="344"/>
      <c r="C51" s="345" t="s">
        <v>237</v>
      </c>
      <c r="D51" s="345" t="s">
        <v>238</v>
      </c>
      <c r="E51" s="345" t="s">
        <v>239</v>
      </c>
      <c r="F51" s="345" t="s">
        <v>226</v>
      </c>
      <c r="G51" s="346" t="s">
        <v>240</v>
      </c>
    </row>
    <row r="52" spans="2:7" x14ac:dyDescent="0.3">
      <c r="B52" s="38" t="s">
        <v>241</v>
      </c>
      <c r="C52" s="39" t="s">
        <v>242</v>
      </c>
      <c r="D52" s="39" t="s">
        <v>228</v>
      </c>
      <c r="E52" s="39" t="s">
        <v>232</v>
      </c>
      <c r="F52" s="39" t="s">
        <v>233</v>
      </c>
      <c r="G52" s="40" t="s">
        <v>243</v>
      </c>
    </row>
    <row r="53" spans="2:7" x14ac:dyDescent="0.3">
      <c r="B53" s="341" t="s">
        <v>244</v>
      </c>
      <c r="C53" s="342" t="s">
        <v>242</v>
      </c>
      <c r="D53" s="342" t="s">
        <v>228</v>
      </c>
      <c r="E53" s="342" t="s">
        <v>232</v>
      </c>
      <c r="F53" s="342" t="s">
        <v>233</v>
      </c>
      <c r="G53" s="343" t="s">
        <v>243</v>
      </c>
    </row>
    <row r="54" spans="2:7" x14ac:dyDescent="0.3">
      <c r="B54" s="344" t="s">
        <v>245</v>
      </c>
      <c r="C54" s="345" t="s">
        <v>237</v>
      </c>
      <c r="D54" s="345" t="s">
        <v>238</v>
      </c>
      <c r="E54" s="345" t="s">
        <v>239</v>
      </c>
      <c r="F54" s="345" t="s">
        <v>226</v>
      </c>
      <c r="G54" s="346" t="s">
        <v>240</v>
      </c>
    </row>
    <row r="55" spans="2:7" x14ac:dyDescent="0.3">
      <c r="B55" s="38" t="s">
        <v>246</v>
      </c>
      <c r="C55" s="39" t="s">
        <v>242</v>
      </c>
      <c r="D55" s="39" t="s">
        <v>228</v>
      </c>
      <c r="E55" s="39" t="s">
        <v>232</v>
      </c>
      <c r="F55" s="39" t="s">
        <v>233</v>
      </c>
      <c r="G55" s="40" t="s">
        <v>243</v>
      </c>
    </row>
    <row r="56" spans="2:7" x14ac:dyDescent="0.3">
      <c r="B56" s="38"/>
      <c r="C56" s="39" t="s">
        <v>247</v>
      </c>
      <c r="D56" s="39"/>
      <c r="E56" s="39"/>
      <c r="F56" s="39"/>
      <c r="G56" s="40" t="s">
        <v>248</v>
      </c>
    </row>
    <row r="57" spans="2:7" x14ac:dyDescent="0.3">
      <c r="B57" s="341" t="s">
        <v>249</v>
      </c>
      <c r="C57" s="342" t="s">
        <v>242</v>
      </c>
      <c r="D57" s="342" t="s">
        <v>228</v>
      </c>
      <c r="E57" s="342" t="s">
        <v>232</v>
      </c>
      <c r="F57" s="342" t="s">
        <v>233</v>
      </c>
      <c r="G57" s="343" t="s">
        <v>243</v>
      </c>
    </row>
    <row r="58" spans="2:7" ht="15" thickBot="1" x14ac:dyDescent="0.35">
      <c r="B58" s="44"/>
      <c r="C58" s="45" t="s">
        <v>237</v>
      </c>
      <c r="D58" s="45" t="s">
        <v>238</v>
      </c>
      <c r="E58" s="45" t="s">
        <v>239</v>
      </c>
      <c r="F58" s="45" t="s">
        <v>226</v>
      </c>
      <c r="G58" s="46" t="s">
        <v>240</v>
      </c>
    </row>
    <row r="61" spans="2:7" ht="23.4" x14ac:dyDescent="0.45">
      <c r="B61" s="347" t="s">
        <v>428</v>
      </c>
    </row>
    <row r="62" spans="2:7" x14ac:dyDescent="0.3">
      <c r="B62" s="178"/>
    </row>
    <row r="63" spans="2:7" ht="15" thickBot="1" x14ac:dyDescent="0.35">
      <c r="B63" t="s">
        <v>429</v>
      </c>
    </row>
    <row r="64" spans="2:7" x14ac:dyDescent="0.3">
      <c r="B64" s="348" t="s">
        <v>218</v>
      </c>
      <c r="C64" s="349" t="s">
        <v>219</v>
      </c>
      <c r="D64" s="349" t="s">
        <v>430</v>
      </c>
      <c r="E64" s="349" t="s">
        <v>431</v>
      </c>
      <c r="F64" s="349" t="s">
        <v>222</v>
      </c>
      <c r="G64" s="350" t="s">
        <v>223</v>
      </c>
    </row>
    <row r="65" spans="2:7" x14ac:dyDescent="0.3">
      <c r="B65" s="351" t="s">
        <v>432</v>
      </c>
      <c r="C65" s="290" t="s">
        <v>394</v>
      </c>
      <c r="D65" s="290" t="s">
        <v>433</v>
      </c>
      <c r="E65" s="290" t="s">
        <v>371</v>
      </c>
      <c r="F65" s="290" t="s">
        <v>434</v>
      </c>
      <c r="G65" s="291" t="s">
        <v>236</v>
      </c>
    </row>
    <row r="66" spans="2:7" x14ac:dyDescent="0.3">
      <c r="B66" s="352" t="s">
        <v>435</v>
      </c>
      <c r="C66" s="353" t="s">
        <v>436</v>
      </c>
      <c r="D66" s="353" t="s">
        <v>437</v>
      </c>
      <c r="E66" s="353"/>
      <c r="F66" s="353"/>
      <c r="G66" s="354" t="s">
        <v>438</v>
      </c>
    </row>
    <row r="67" spans="2:7" x14ac:dyDescent="0.3">
      <c r="B67" s="287" t="s">
        <v>230</v>
      </c>
      <c r="C67" s="288" t="s">
        <v>231</v>
      </c>
      <c r="D67" s="288" t="s">
        <v>433</v>
      </c>
      <c r="E67" s="288" t="s">
        <v>371</v>
      </c>
      <c r="F67" s="288" t="s">
        <v>434</v>
      </c>
      <c r="G67" s="289" t="s">
        <v>229</v>
      </c>
    </row>
    <row r="68" spans="2:7" x14ac:dyDescent="0.3">
      <c r="B68" s="41" t="s">
        <v>439</v>
      </c>
      <c r="C68" s="42" t="s">
        <v>235</v>
      </c>
      <c r="D68" s="42" t="s">
        <v>433</v>
      </c>
      <c r="E68" s="42" t="s">
        <v>371</v>
      </c>
      <c r="F68" s="42" t="s">
        <v>434</v>
      </c>
      <c r="G68" s="283" t="s">
        <v>236</v>
      </c>
    </row>
    <row r="69" spans="2:7" x14ac:dyDescent="0.3">
      <c r="B69" s="309"/>
      <c r="C69" s="355" t="s">
        <v>237</v>
      </c>
      <c r="D69" s="355" t="s">
        <v>440</v>
      </c>
      <c r="E69" s="355" t="s">
        <v>228</v>
      </c>
      <c r="F69" s="355" t="s">
        <v>441</v>
      </c>
      <c r="G69" s="356" t="s">
        <v>240</v>
      </c>
    </row>
    <row r="70" spans="2:7" x14ac:dyDescent="0.3">
      <c r="B70" s="357" t="s">
        <v>241</v>
      </c>
      <c r="C70" s="358" t="s">
        <v>242</v>
      </c>
      <c r="D70" s="358" t="s">
        <v>433</v>
      </c>
      <c r="E70" s="358" t="s">
        <v>371</v>
      </c>
      <c r="F70" s="358" t="s">
        <v>434</v>
      </c>
      <c r="G70" s="359" t="s">
        <v>243</v>
      </c>
    </row>
    <row r="71" spans="2:7" x14ac:dyDescent="0.3">
      <c r="B71" s="287" t="s">
        <v>442</v>
      </c>
      <c r="C71" s="288" t="s">
        <v>242</v>
      </c>
      <c r="D71" s="288" t="s">
        <v>433</v>
      </c>
      <c r="E71" s="288" t="s">
        <v>371</v>
      </c>
      <c r="F71" s="288" t="s">
        <v>434</v>
      </c>
      <c r="G71" s="289" t="s">
        <v>243</v>
      </c>
    </row>
    <row r="72" spans="2:7" x14ac:dyDescent="0.3">
      <c r="B72" s="309" t="s">
        <v>245</v>
      </c>
      <c r="C72" s="355" t="s">
        <v>237</v>
      </c>
      <c r="D72" s="355" t="s">
        <v>440</v>
      </c>
      <c r="E72" s="355" t="s">
        <v>228</v>
      </c>
      <c r="F72" s="355" t="s">
        <v>441</v>
      </c>
      <c r="G72" s="356" t="s">
        <v>240</v>
      </c>
    </row>
    <row r="73" spans="2:7" x14ac:dyDescent="0.3">
      <c r="B73" s="360" t="s">
        <v>246</v>
      </c>
      <c r="C73" s="361" t="s">
        <v>242</v>
      </c>
      <c r="D73" s="361" t="s">
        <v>433</v>
      </c>
      <c r="E73" s="361" t="s">
        <v>371</v>
      </c>
      <c r="F73" s="361" t="s">
        <v>434</v>
      </c>
      <c r="G73" s="354" t="s">
        <v>243</v>
      </c>
    </row>
    <row r="74" spans="2:7" x14ac:dyDescent="0.3">
      <c r="B74" s="352"/>
      <c r="C74" s="353" t="s">
        <v>247</v>
      </c>
      <c r="D74" s="353"/>
      <c r="E74" s="353"/>
      <c r="F74" s="353"/>
      <c r="G74" s="354" t="s">
        <v>443</v>
      </c>
    </row>
    <row r="75" spans="2:7" x14ac:dyDescent="0.3">
      <c r="B75" s="41" t="s">
        <v>249</v>
      </c>
      <c r="C75" s="42" t="s">
        <v>242</v>
      </c>
      <c r="D75" s="42" t="s">
        <v>433</v>
      </c>
      <c r="E75" s="42" t="s">
        <v>371</v>
      </c>
      <c r="F75" s="42" t="s">
        <v>434</v>
      </c>
      <c r="G75" s="283" t="s">
        <v>243</v>
      </c>
    </row>
    <row r="76" spans="2:7" ht="15" thickBot="1" x14ac:dyDescent="0.35">
      <c r="B76" s="44"/>
      <c r="C76" s="45" t="s">
        <v>237</v>
      </c>
      <c r="D76" s="45" t="s">
        <v>440</v>
      </c>
      <c r="E76" s="45" t="s">
        <v>228</v>
      </c>
      <c r="F76" s="45" t="s">
        <v>441</v>
      </c>
      <c r="G76" s="362" t="s">
        <v>240</v>
      </c>
    </row>
    <row r="78" spans="2:7" ht="15" thickBot="1" x14ac:dyDescent="0.35">
      <c r="B78" t="s">
        <v>444</v>
      </c>
      <c r="C78" t="s">
        <v>426</v>
      </c>
    </row>
    <row r="79" spans="2:7" x14ac:dyDescent="0.3">
      <c r="B79" s="363" t="s">
        <v>218</v>
      </c>
      <c r="C79" s="364" t="s">
        <v>219</v>
      </c>
      <c r="D79" s="364" t="s">
        <v>222</v>
      </c>
      <c r="E79" s="364" t="s">
        <v>445</v>
      </c>
      <c r="F79" s="364" t="s">
        <v>446</v>
      </c>
      <c r="G79" s="350" t="s">
        <v>223</v>
      </c>
    </row>
    <row r="80" spans="2:7" x14ac:dyDescent="0.3">
      <c r="B80" s="365" t="s">
        <v>447</v>
      </c>
      <c r="C80" s="366" t="s">
        <v>448</v>
      </c>
      <c r="D80" s="366" t="s">
        <v>449</v>
      </c>
      <c r="E80" s="366" t="s">
        <v>371</v>
      </c>
      <c r="F80" s="366" t="s">
        <v>450</v>
      </c>
      <c r="G80" s="367" t="s">
        <v>229</v>
      </c>
    </row>
    <row r="81" spans="2:7" ht="15" thickBot="1" x14ac:dyDescent="0.35">
      <c r="B81" s="368" t="s">
        <v>451</v>
      </c>
      <c r="C81" s="369" t="s">
        <v>452</v>
      </c>
      <c r="D81" s="369" t="s">
        <v>433</v>
      </c>
      <c r="E81" s="369" t="s">
        <v>449</v>
      </c>
      <c r="F81" s="369" t="s">
        <v>450</v>
      </c>
      <c r="G81" s="370" t="s">
        <v>229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0F45-74D5-4C39-9642-5B73C07F11DE}">
  <sheetPr>
    <pageSetUpPr fitToPage="1"/>
  </sheetPr>
  <dimension ref="A2:AD46"/>
  <sheetViews>
    <sheetView zoomScale="90" zoomScaleNormal="90" workbookViewId="0">
      <selection activeCell="S22" sqref="S22"/>
    </sheetView>
  </sheetViews>
  <sheetFormatPr defaultColWidth="9.109375" defaultRowHeight="14.4" x14ac:dyDescent="0.3"/>
  <cols>
    <col min="1" max="1" width="11" style="50" customWidth="1"/>
    <col min="2" max="5" width="7.109375" style="49" customWidth="1"/>
    <col min="6" max="6" width="2.6640625" style="49" customWidth="1"/>
    <col min="7" max="29" width="7.109375" style="49" customWidth="1"/>
    <col min="30" max="31" width="7.109375" style="50" customWidth="1"/>
    <col min="32" max="16384" width="9.109375" style="50"/>
  </cols>
  <sheetData>
    <row r="2" spans="1:30" ht="15" thickBot="1" x14ac:dyDescent="0.35">
      <c r="A2" s="48" t="s">
        <v>256</v>
      </c>
    </row>
    <row r="3" spans="1:30" ht="15" thickBot="1" x14ac:dyDescent="0.35">
      <c r="B3" s="390" t="s">
        <v>257</v>
      </c>
      <c r="C3" s="391"/>
      <c r="D3" s="391"/>
      <c r="E3" s="391"/>
      <c r="F3" s="391"/>
      <c r="G3" s="391"/>
      <c r="H3" s="391"/>
      <c r="I3" s="392"/>
      <c r="J3" s="390" t="s">
        <v>258</v>
      </c>
      <c r="K3" s="391"/>
      <c r="L3" s="391"/>
      <c r="M3" s="391"/>
      <c r="N3" s="391"/>
      <c r="O3" s="392"/>
      <c r="P3" s="390" t="s">
        <v>259</v>
      </c>
      <c r="Q3" s="391"/>
      <c r="R3" s="391"/>
      <c r="S3" s="391"/>
      <c r="T3" s="391"/>
      <c r="U3" s="391"/>
      <c r="V3" s="391" t="s">
        <v>260</v>
      </c>
      <c r="W3" s="391"/>
      <c r="X3" s="391"/>
      <c r="Y3" s="391"/>
      <c r="Z3" s="391"/>
      <c r="AA3" s="391"/>
      <c r="AB3" s="391"/>
      <c r="AC3" s="392"/>
    </row>
    <row r="4" spans="1:30" ht="15" thickBot="1" x14ac:dyDescent="0.35">
      <c r="A4" s="51" t="s">
        <v>261</v>
      </c>
      <c r="B4" s="52">
        <v>1</v>
      </c>
      <c r="C4" s="53">
        <f>+B4+1</f>
        <v>2</v>
      </c>
      <c r="D4" s="53">
        <f t="shared" ref="D4:E4" si="0">+C4+1</f>
        <v>3</v>
      </c>
      <c r="E4" s="53">
        <f t="shared" si="0"/>
        <v>4</v>
      </c>
      <c r="F4" s="53"/>
      <c r="G4" s="54">
        <v>5</v>
      </c>
      <c r="H4" s="54">
        <f>+G4+1</f>
        <v>6</v>
      </c>
      <c r="I4" s="54">
        <f t="shared" ref="I4:AC4" si="1">+H4+1</f>
        <v>7</v>
      </c>
      <c r="J4" s="54">
        <f t="shared" si="1"/>
        <v>8</v>
      </c>
      <c r="K4" s="54">
        <f t="shared" si="1"/>
        <v>9</v>
      </c>
      <c r="L4" s="54">
        <f t="shared" si="1"/>
        <v>10</v>
      </c>
      <c r="M4" s="54">
        <f t="shared" si="1"/>
        <v>11</v>
      </c>
      <c r="N4" s="54">
        <f t="shared" si="1"/>
        <v>12</v>
      </c>
      <c r="O4" s="54">
        <f t="shared" si="1"/>
        <v>13</v>
      </c>
      <c r="P4" s="54">
        <f t="shared" si="1"/>
        <v>14</v>
      </c>
      <c r="Q4" s="54">
        <f t="shared" si="1"/>
        <v>15</v>
      </c>
      <c r="R4" s="54">
        <f t="shared" si="1"/>
        <v>16</v>
      </c>
      <c r="S4" s="54">
        <f t="shared" si="1"/>
        <v>17</v>
      </c>
      <c r="T4" s="54">
        <f t="shared" si="1"/>
        <v>18</v>
      </c>
      <c r="U4" s="54">
        <f t="shared" si="1"/>
        <v>19</v>
      </c>
      <c r="V4" s="54">
        <f t="shared" si="1"/>
        <v>20</v>
      </c>
      <c r="W4" s="54">
        <f t="shared" si="1"/>
        <v>21</v>
      </c>
      <c r="X4" s="54">
        <f t="shared" si="1"/>
        <v>22</v>
      </c>
      <c r="Y4" s="54">
        <f t="shared" si="1"/>
        <v>23</v>
      </c>
      <c r="Z4" s="54">
        <f t="shared" si="1"/>
        <v>24</v>
      </c>
      <c r="AA4" s="54">
        <f t="shared" si="1"/>
        <v>25</v>
      </c>
      <c r="AB4" s="54">
        <f t="shared" si="1"/>
        <v>26</v>
      </c>
      <c r="AC4" s="53">
        <f t="shared" si="1"/>
        <v>27</v>
      </c>
    </row>
    <row r="5" spans="1:30" ht="15" thickBot="1" x14ac:dyDescent="0.35">
      <c r="A5" s="55"/>
      <c r="B5" s="56" t="s">
        <v>262</v>
      </c>
      <c r="C5" s="56" t="s">
        <v>262</v>
      </c>
      <c r="D5" s="56" t="s">
        <v>262</v>
      </c>
      <c r="E5" s="56" t="s">
        <v>262</v>
      </c>
      <c r="F5" s="57"/>
      <c r="G5" s="387" t="s">
        <v>263</v>
      </c>
      <c r="H5" s="388"/>
      <c r="I5" s="388"/>
      <c r="J5" s="388"/>
      <c r="K5" s="388"/>
      <c r="L5" s="388"/>
      <c r="M5" s="388"/>
      <c r="N5" s="388"/>
      <c r="O5" s="388"/>
      <c r="P5" s="388"/>
      <c r="Q5" s="388"/>
      <c r="R5" s="388"/>
      <c r="S5" s="388"/>
      <c r="T5" s="388"/>
      <c r="U5" s="388"/>
      <c r="V5" s="388"/>
      <c r="W5" s="388"/>
      <c r="X5" s="388"/>
      <c r="Y5" s="388"/>
      <c r="Z5" s="388"/>
      <c r="AA5" s="388"/>
      <c r="AB5" s="388"/>
      <c r="AC5" s="389"/>
    </row>
    <row r="6" spans="1:30" s="67" customFormat="1" ht="18.600000000000001" thickBot="1" x14ac:dyDescent="0.35">
      <c r="A6" s="58" t="s">
        <v>264</v>
      </c>
      <c r="B6" s="59">
        <v>8.5</v>
      </c>
      <c r="C6" s="59">
        <v>11</v>
      </c>
      <c r="D6" s="59">
        <v>11</v>
      </c>
      <c r="E6" s="60">
        <v>14</v>
      </c>
      <c r="F6" s="61"/>
      <c r="G6" s="62">
        <v>14</v>
      </c>
      <c r="H6" s="63">
        <v>17</v>
      </c>
      <c r="I6" s="63">
        <v>20</v>
      </c>
      <c r="J6" s="64">
        <v>10</v>
      </c>
      <c r="K6" s="65">
        <v>12</v>
      </c>
      <c r="L6" s="65">
        <v>14</v>
      </c>
      <c r="M6" s="64">
        <v>16</v>
      </c>
      <c r="N6" s="60">
        <v>18</v>
      </c>
      <c r="O6" s="60">
        <v>20</v>
      </c>
      <c r="P6" s="64">
        <v>9</v>
      </c>
      <c r="Q6" s="60">
        <v>11</v>
      </c>
      <c r="R6" s="64">
        <v>12</v>
      </c>
      <c r="S6" s="60">
        <v>14</v>
      </c>
      <c r="T6" s="60">
        <v>16</v>
      </c>
      <c r="U6" s="60">
        <v>17</v>
      </c>
      <c r="V6" s="66">
        <v>12</v>
      </c>
      <c r="W6" s="66">
        <v>13</v>
      </c>
      <c r="X6" s="66">
        <v>14</v>
      </c>
      <c r="Y6" s="66">
        <v>15</v>
      </c>
      <c r="Z6" s="66">
        <v>16</v>
      </c>
      <c r="AA6" s="66">
        <v>17</v>
      </c>
      <c r="AB6" s="66">
        <v>18</v>
      </c>
      <c r="AC6" s="66">
        <v>19</v>
      </c>
    </row>
    <row r="7" spans="1:30" ht="15" thickBot="1" x14ac:dyDescent="0.35">
      <c r="A7" s="68" t="s">
        <v>265</v>
      </c>
      <c r="B7" s="69">
        <f>+B30</f>
        <v>1.125</v>
      </c>
      <c r="C7" s="69">
        <f t="shared" ref="C7:AC7" si="2">+C30</f>
        <v>1.35</v>
      </c>
      <c r="D7" s="69">
        <f t="shared" si="2"/>
        <v>1.6</v>
      </c>
      <c r="E7" s="69">
        <f t="shared" si="2"/>
        <v>2</v>
      </c>
      <c r="F7" s="70"/>
      <c r="G7" s="69">
        <f t="shared" si="2"/>
        <v>2</v>
      </c>
      <c r="H7" s="69">
        <f t="shared" si="2"/>
        <v>2.5</v>
      </c>
      <c r="I7" s="69">
        <f t="shared" si="2"/>
        <v>3</v>
      </c>
      <c r="J7" s="69">
        <f t="shared" si="2"/>
        <v>1.35</v>
      </c>
      <c r="K7" s="69">
        <f t="shared" si="2"/>
        <v>1.7</v>
      </c>
      <c r="L7" s="69">
        <f t="shared" si="2"/>
        <v>2</v>
      </c>
      <c r="M7" s="69">
        <f t="shared" si="2"/>
        <v>2.2999999999999998</v>
      </c>
      <c r="N7" s="69">
        <f t="shared" si="2"/>
        <v>2.7</v>
      </c>
      <c r="O7" s="69">
        <f t="shared" si="2"/>
        <v>3</v>
      </c>
      <c r="P7" s="69">
        <f t="shared" si="2"/>
        <v>1.25</v>
      </c>
      <c r="Q7" s="69">
        <f t="shared" si="2"/>
        <v>1.5</v>
      </c>
      <c r="R7" s="69">
        <f t="shared" si="2"/>
        <v>1.7</v>
      </c>
      <c r="S7" s="69">
        <f t="shared" si="2"/>
        <v>2</v>
      </c>
      <c r="T7" s="69">
        <f t="shared" si="2"/>
        <v>2.2999999999999998</v>
      </c>
      <c r="U7" s="69">
        <f t="shared" si="2"/>
        <v>2.5</v>
      </c>
      <c r="V7" s="69">
        <f t="shared" si="2"/>
        <v>1.7</v>
      </c>
      <c r="W7" s="69">
        <f t="shared" si="2"/>
        <v>1.9</v>
      </c>
      <c r="X7" s="69">
        <f t="shared" si="2"/>
        <v>2</v>
      </c>
      <c r="Y7" s="69">
        <f t="shared" si="2"/>
        <v>2.2000000000000002</v>
      </c>
      <c r="Z7" s="69">
        <f t="shared" si="2"/>
        <v>2.2999999999999998</v>
      </c>
      <c r="AA7" s="69">
        <f t="shared" si="2"/>
        <v>2.5</v>
      </c>
      <c r="AB7" s="69">
        <f t="shared" si="2"/>
        <v>2.7</v>
      </c>
      <c r="AC7" s="69">
        <f t="shared" si="2"/>
        <v>2.9</v>
      </c>
      <c r="AD7" s="71">
        <v>0.25</v>
      </c>
    </row>
    <row r="8" spans="1:30" ht="15" thickBot="1" x14ac:dyDescent="0.35">
      <c r="A8" s="51" t="s">
        <v>266</v>
      </c>
      <c r="B8" s="72"/>
      <c r="C8" s="72"/>
      <c r="D8" s="73"/>
      <c r="E8" s="74"/>
      <c r="F8" s="57"/>
      <c r="G8" s="75"/>
      <c r="H8" s="76"/>
      <c r="I8" s="76"/>
      <c r="J8" s="77"/>
      <c r="K8" s="73"/>
      <c r="L8" s="73"/>
      <c r="M8" s="78"/>
      <c r="N8" s="73"/>
      <c r="O8" s="73"/>
      <c r="P8" s="73"/>
      <c r="Q8" s="73"/>
      <c r="R8" s="73"/>
      <c r="S8" s="73"/>
      <c r="T8" s="73"/>
      <c r="U8" s="73"/>
      <c r="V8" s="68">
        <f>+V7</f>
        <v>1.7</v>
      </c>
      <c r="W8" s="68">
        <f t="shared" ref="W8:AB8" si="3">+W7</f>
        <v>1.9</v>
      </c>
      <c r="X8" s="68">
        <f t="shared" si="3"/>
        <v>2</v>
      </c>
      <c r="Y8" s="68">
        <f t="shared" si="3"/>
        <v>2.2000000000000002</v>
      </c>
      <c r="Z8" s="68">
        <f t="shared" si="3"/>
        <v>2.2999999999999998</v>
      </c>
      <c r="AA8" s="68">
        <f t="shared" si="3"/>
        <v>2.5</v>
      </c>
      <c r="AB8" s="68">
        <f t="shared" si="3"/>
        <v>2.7</v>
      </c>
      <c r="AC8" s="68">
        <f>+AC7</f>
        <v>2.9</v>
      </c>
      <c r="AD8" s="71">
        <v>0.27083333333333331</v>
      </c>
    </row>
    <row r="9" spans="1:30" ht="15" thickBot="1" x14ac:dyDescent="0.35">
      <c r="A9" s="79"/>
      <c r="B9" s="76"/>
      <c r="C9" s="76"/>
      <c r="D9" s="76"/>
      <c r="E9" s="74"/>
      <c r="F9" s="80"/>
      <c r="G9" s="80"/>
      <c r="H9" s="81"/>
      <c r="I9" s="81"/>
      <c r="J9" s="81"/>
      <c r="K9" s="81"/>
      <c r="L9" s="81"/>
      <c r="M9" s="81"/>
      <c r="N9" s="81"/>
      <c r="O9" s="81"/>
      <c r="P9" s="81"/>
      <c r="Q9" s="81"/>
      <c r="R9" s="81"/>
      <c r="S9" s="81"/>
      <c r="T9" s="81"/>
      <c r="U9" s="81"/>
      <c r="V9" s="81"/>
      <c r="W9" s="81"/>
      <c r="X9" s="81"/>
      <c r="Y9" s="81"/>
      <c r="Z9" s="81"/>
      <c r="AA9" s="81"/>
      <c r="AB9" s="81"/>
      <c r="AC9" s="81"/>
    </row>
    <row r="10" spans="1:30" ht="15" thickBot="1" x14ac:dyDescent="0.35">
      <c r="A10" s="79"/>
      <c r="B10" s="76"/>
      <c r="C10" s="76"/>
      <c r="D10" s="76"/>
      <c r="E10" s="82"/>
      <c r="F10" s="80"/>
      <c r="G10" s="83"/>
      <c r="H10" s="81"/>
      <c r="I10" s="81"/>
      <c r="J10" s="84">
        <f t="shared" ref="J10:U10" si="4">+J7</f>
        <v>1.35</v>
      </c>
      <c r="K10" s="68">
        <f t="shared" si="4"/>
        <v>1.7</v>
      </c>
      <c r="L10" s="68">
        <f t="shared" si="4"/>
        <v>2</v>
      </c>
      <c r="M10" s="85">
        <f t="shared" si="4"/>
        <v>2.2999999999999998</v>
      </c>
      <c r="N10" s="68">
        <f t="shared" si="4"/>
        <v>2.7</v>
      </c>
      <c r="O10" s="68">
        <f t="shared" si="4"/>
        <v>3</v>
      </c>
      <c r="P10" s="68">
        <f t="shared" si="4"/>
        <v>1.25</v>
      </c>
      <c r="Q10" s="68">
        <f t="shared" si="4"/>
        <v>1.5</v>
      </c>
      <c r="R10" s="68">
        <f t="shared" si="4"/>
        <v>1.7</v>
      </c>
      <c r="S10" s="68">
        <f t="shared" si="4"/>
        <v>2</v>
      </c>
      <c r="T10" s="68">
        <f t="shared" si="4"/>
        <v>2.2999999999999998</v>
      </c>
      <c r="U10" s="68">
        <f t="shared" si="4"/>
        <v>2.5</v>
      </c>
      <c r="V10" s="81"/>
      <c r="W10" s="81"/>
      <c r="X10" s="81"/>
      <c r="Y10" s="81"/>
      <c r="Z10" s="81"/>
      <c r="AA10" s="81"/>
      <c r="AB10" s="81"/>
      <c r="AC10" s="81"/>
      <c r="AD10" s="71">
        <v>0.33333333333333331</v>
      </c>
    </row>
    <row r="11" spans="1:30" ht="15" thickBot="1" x14ac:dyDescent="0.35">
      <c r="A11" s="76"/>
      <c r="B11" s="76"/>
      <c r="C11" s="76"/>
      <c r="D11" s="76"/>
      <c r="E11" s="82"/>
      <c r="F11" s="80"/>
      <c r="G11" s="83"/>
      <c r="H11" s="81"/>
      <c r="I11" s="81"/>
      <c r="J11" s="86"/>
      <c r="K11" s="81"/>
      <c r="L11" s="81"/>
      <c r="M11" s="74"/>
      <c r="N11" s="81"/>
      <c r="O11" s="81"/>
      <c r="P11" s="76"/>
      <c r="Q11" s="76"/>
      <c r="R11" s="76"/>
      <c r="S11" s="76"/>
      <c r="T11" s="76"/>
      <c r="U11" s="76"/>
      <c r="V11" s="68">
        <f>+V8</f>
        <v>1.7</v>
      </c>
      <c r="W11" s="68">
        <f t="shared" ref="W11:AB11" si="5">+W8</f>
        <v>1.9</v>
      </c>
      <c r="X11" s="68">
        <f t="shared" si="5"/>
        <v>2</v>
      </c>
      <c r="Y11" s="68">
        <f t="shared" si="5"/>
        <v>2.2000000000000002</v>
      </c>
      <c r="Z11" s="68">
        <f t="shared" si="5"/>
        <v>2.2999999999999998</v>
      </c>
      <c r="AA11" s="68">
        <f t="shared" si="5"/>
        <v>2.5</v>
      </c>
      <c r="AB11" s="68">
        <f t="shared" si="5"/>
        <v>2.7</v>
      </c>
      <c r="AC11" s="68">
        <f>+AC8</f>
        <v>2.9</v>
      </c>
      <c r="AD11" s="71">
        <v>0.375</v>
      </c>
    </row>
    <row r="12" spans="1:30" ht="15" thickBot="1" x14ac:dyDescent="0.35">
      <c r="A12" s="87"/>
      <c r="B12" s="76"/>
      <c r="C12" s="76"/>
      <c r="D12" s="76"/>
      <c r="E12" s="82"/>
      <c r="F12" s="80"/>
      <c r="G12" s="83"/>
      <c r="H12" s="81"/>
      <c r="I12" s="81"/>
      <c r="J12" s="86"/>
      <c r="K12" s="81"/>
      <c r="L12" s="81"/>
      <c r="M12" s="74"/>
      <c r="N12" s="81"/>
      <c r="O12" s="81"/>
      <c r="P12" s="76"/>
      <c r="Q12" s="76"/>
      <c r="R12" s="76"/>
      <c r="S12" s="76"/>
      <c r="T12" s="76"/>
      <c r="U12" s="76"/>
      <c r="V12" s="81"/>
      <c r="W12" s="81"/>
      <c r="X12" s="81"/>
      <c r="Y12" s="81"/>
      <c r="Z12" s="81"/>
      <c r="AA12" s="81"/>
      <c r="AB12" s="81"/>
      <c r="AC12" s="81"/>
    </row>
    <row r="13" spans="1:30" ht="15" thickBot="1" x14ac:dyDescent="0.35">
      <c r="A13" s="68" t="s">
        <v>267</v>
      </c>
      <c r="B13" s="88">
        <f>+B7</f>
        <v>1.125</v>
      </c>
      <c r="C13" s="88">
        <f t="shared" ref="C13:E13" si="6">+C7</f>
        <v>1.35</v>
      </c>
      <c r="D13" s="88">
        <f t="shared" si="6"/>
        <v>1.6</v>
      </c>
      <c r="E13" s="88">
        <f t="shared" si="6"/>
        <v>2</v>
      </c>
      <c r="F13" s="80"/>
      <c r="G13" s="89">
        <f t="shared" ref="G13:I13" si="7">+G7</f>
        <v>2</v>
      </c>
      <c r="H13" s="89">
        <f t="shared" si="7"/>
        <v>2.5</v>
      </c>
      <c r="I13" s="89">
        <f t="shared" si="7"/>
        <v>3</v>
      </c>
      <c r="J13" s="84">
        <f t="shared" ref="J13:U13" si="8">+J10</f>
        <v>1.35</v>
      </c>
      <c r="K13" s="68">
        <f t="shared" si="8"/>
        <v>1.7</v>
      </c>
      <c r="L13" s="68">
        <f t="shared" si="8"/>
        <v>2</v>
      </c>
      <c r="M13" s="85">
        <f t="shared" si="8"/>
        <v>2.2999999999999998</v>
      </c>
      <c r="N13" s="68">
        <f t="shared" si="8"/>
        <v>2.7</v>
      </c>
      <c r="O13" s="68">
        <f t="shared" si="8"/>
        <v>3</v>
      </c>
      <c r="P13" s="68">
        <f t="shared" si="8"/>
        <v>1.25</v>
      </c>
      <c r="Q13" s="68">
        <f t="shared" si="8"/>
        <v>1.5</v>
      </c>
      <c r="R13" s="68">
        <f t="shared" si="8"/>
        <v>1.7</v>
      </c>
      <c r="S13" s="68">
        <f t="shared" si="8"/>
        <v>2</v>
      </c>
      <c r="T13" s="68">
        <f t="shared" si="8"/>
        <v>2.2999999999999998</v>
      </c>
      <c r="U13" s="68">
        <f t="shared" si="8"/>
        <v>2.5</v>
      </c>
      <c r="V13" s="68">
        <f>+V11</f>
        <v>1.7</v>
      </c>
      <c r="W13" s="68">
        <f t="shared" ref="W13:AB13" si="9">+W11</f>
        <v>1.9</v>
      </c>
      <c r="X13" s="68">
        <f t="shared" si="9"/>
        <v>2</v>
      </c>
      <c r="Y13" s="68">
        <f t="shared" si="9"/>
        <v>2.2000000000000002</v>
      </c>
      <c r="Z13" s="68">
        <f t="shared" si="9"/>
        <v>2.2999999999999998</v>
      </c>
      <c r="AA13" s="68">
        <f t="shared" si="9"/>
        <v>2.5</v>
      </c>
      <c r="AB13" s="68">
        <f t="shared" si="9"/>
        <v>2.7</v>
      </c>
      <c r="AC13" s="68">
        <f>+AC11</f>
        <v>2.9</v>
      </c>
      <c r="AD13" s="71">
        <v>0.58333333333333337</v>
      </c>
    </row>
    <row r="14" spans="1:30" ht="15" thickBot="1" x14ac:dyDescent="0.35">
      <c r="A14" s="87"/>
      <c r="B14" s="75"/>
      <c r="C14" s="75"/>
      <c r="D14" s="76"/>
      <c r="E14" s="82"/>
      <c r="F14" s="80"/>
      <c r="G14" s="75"/>
      <c r="H14" s="76"/>
      <c r="I14" s="76"/>
      <c r="J14" s="86"/>
      <c r="K14" s="81"/>
      <c r="L14" s="81"/>
      <c r="M14" s="74"/>
      <c r="N14" s="81"/>
      <c r="O14" s="81"/>
      <c r="P14" s="76"/>
      <c r="Q14" s="76"/>
      <c r="R14" s="76"/>
      <c r="S14" s="76"/>
      <c r="T14" s="76"/>
      <c r="U14" s="76"/>
      <c r="V14" s="81"/>
      <c r="W14" s="81"/>
      <c r="X14" s="81"/>
      <c r="Y14" s="81"/>
      <c r="Z14" s="81"/>
      <c r="AA14" s="81"/>
      <c r="AB14" s="81"/>
      <c r="AC14" s="81"/>
    </row>
    <row r="15" spans="1:30" ht="15" thickBot="1" x14ac:dyDescent="0.35">
      <c r="A15" s="87"/>
      <c r="B15" s="75"/>
      <c r="C15" s="75"/>
      <c r="D15" s="76"/>
      <c r="E15" s="82"/>
      <c r="F15" s="80"/>
      <c r="G15" s="75"/>
      <c r="H15" s="81"/>
      <c r="I15" s="81"/>
      <c r="J15" s="86"/>
      <c r="K15" s="81"/>
      <c r="L15" s="81"/>
      <c r="M15" s="74"/>
      <c r="N15" s="81"/>
      <c r="O15" s="81"/>
      <c r="P15" s="68">
        <f>+P13</f>
        <v>1.25</v>
      </c>
      <c r="Q15" s="68">
        <f t="shared" ref="Q15:R15" si="10">+Q13</f>
        <v>1.5</v>
      </c>
      <c r="R15" s="68">
        <f t="shared" si="10"/>
        <v>1.7</v>
      </c>
      <c r="S15" s="68">
        <f>+S13</f>
        <v>2</v>
      </c>
      <c r="T15" s="68">
        <f t="shared" ref="T15:U15" si="11">+T13</f>
        <v>2.2999999999999998</v>
      </c>
      <c r="U15" s="68">
        <f t="shared" si="11"/>
        <v>2.5</v>
      </c>
      <c r="V15" s="68">
        <f>+V13</f>
        <v>1.7</v>
      </c>
      <c r="W15" s="68">
        <f t="shared" ref="W15:AB15" si="12">+W13</f>
        <v>1.9</v>
      </c>
      <c r="X15" s="68">
        <f t="shared" si="12"/>
        <v>2</v>
      </c>
      <c r="Y15" s="68">
        <f t="shared" si="12"/>
        <v>2.2000000000000002</v>
      </c>
      <c r="Z15" s="68">
        <f t="shared" si="12"/>
        <v>2.2999999999999998</v>
      </c>
      <c r="AA15" s="68">
        <f t="shared" si="12"/>
        <v>2.5</v>
      </c>
      <c r="AB15" s="68">
        <f t="shared" si="12"/>
        <v>2.7</v>
      </c>
      <c r="AC15" s="68">
        <f>+AC13</f>
        <v>2.9</v>
      </c>
      <c r="AD15" s="71">
        <v>0.625</v>
      </c>
    </row>
    <row r="16" spans="1:30" ht="15" thickBot="1" x14ac:dyDescent="0.35">
      <c r="A16" s="90"/>
      <c r="B16" s="91"/>
      <c r="C16" s="91"/>
      <c r="D16" s="92"/>
      <c r="E16" s="93"/>
      <c r="F16" s="94"/>
      <c r="G16" s="94"/>
      <c r="H16" s="95"/>
      <c r="I16" s="95"/>
      <c r="J16" s="96"/>
      <c r="K16" s="97"/>
      <c r="L16" s="97"/>
      <c r="M16" s="98"/>
      <c r="N16" s="97"/>
      <c r="O16" s="97"/>
      <c r="P16" s="99"/>
      <c r="Q16" s="99"/>
      <c r="R16" s="99"/>
      <c r="S16" s="99"/>
      <c r="T16" s="99"/>
      <c r="U16" s="99"/>
      <c r="V16" s="95"/>
      <c r="W16" s="95"/>
      <c r="X16" s="95"/>
      <c r="Y16" s="95"/>
      <c r="Z16" s="95"/>
      <c r="AA16" s="95"/>
      <c r="AB16" s="95"/>
      <c r="AC16" s="95"/>
    </row>
    <row r="17" spans="1:30" ht="15" thickBot="1" x14ac:dyDescent="0.35">
      <c r="A17" s="100" t="s">
        <v>268</v>
      </c>
      <c r="B17" s="101">
        <f>SUM(B7:B16)</f>
        <v>2.25</v>
      </c>
      <c r="C17" s="101">
        <f t="shared" ref="C17:E17" si="13">SUM(C7:C16)</f>
        <v>2.7</v>
      </c>
      <c r="D17" s="101">
        <f t="shared" si="13"/>
        <v>3.2</v>
      </c>
      <c r="E17" s="102">
        <f t="shared" si="13"/>
        <v>4</v>
      </c>
      <c r="F17" s="103"/>
      <c r="G17" s="101">
        <f t="shared" ref="G17:AC17" si="14">SUM(G7:G16)</f>
        <v>4</v>
      </c>
      <c r="H17" s="101">
        <f t="shared" si="14"/>
        <v>5</v>
      </c>
      <c r="I17" s="101">
        <f t="shared" si="14"/>
        <v>6</v>
      </c>
      <c r="J17" s="101">
        <f t="shared" si="14"/>
        <v>4.0500000000000007</v>
      </c>
      <c r="K17" s="101">
        <f t="shared" si="14"/>
        <v>5.0999999999999996</v>
      </c>
      <c r="L17" s="101">
        <f t="shared" si="14"/>
        <v>6</v>
      </c>
      <c r="M17" s="101">
        <f t="shared" si="14"/>
        <v>6.8999999999999995</v>
      </c>
      <c r="N17" s="101">
        <f t="shared" si="14"/>
        <v>8.1000000000000014</v>
      </c>
      <c r="O17" s="101">
        <f t="shared" si="14"/>
        <v>9</v>
      </c>
      <c r="P17" s="101">
        <f t="shared" si="14"/>
        <v>5</v>
      </c>
      <c r="Q17" s="101">
        <f t="shared" si="14"/>
        <v>6</v>
      </c>
      <c r="R17" s="101">
        <f t="shared" si="14"/>
        <v>6.8</v>
      </c>
      <c r="S17" s="101">
        <f t="shared" si="14"/>
        <v>8</v>
      </c>
      <c r="T17" s="101">
        <f t="shared" si="14"/>
        <v>9.1999999999999993</v>
      </c>
      <c r="U17" s="101">
        <f t="shared" si="14"/>
        <v>10</v>
      </c>
      <c r="V17" s="101">
        <f t="shared" si="14"/>
        <v>8.5</v>
      </c>
      <c r="W17" s="101">
        <f t="shared" si="14"/>
        <v>9.5</v>
      </c>
      <c r="X17" s="101">
        <f t="shared" si="14"/>
        <v>10</v>
      </c>
      <c r="Y17" s="101">
        <f t="shared" si="14"/>
        <v>11</v>
      </c>
      <c r="Z17" s="101">
        <f t="shared" si="14"/>
        <v>11.5</v>
      </c>
      <c r="AA17" s="101">
        <f t="shared" si="14"/>
        <v>12.5</v>
      </c>
      <c r="AB17" s="101">
        <f t="shared" si="14"/>
        <v>13.5</v>
      </c>
      <c r="AC17" s="102">
        <f t="shared" si="14"/>
        <v>14.5</v>
      </c>
    </row>
    <row r="18" spans="1:30" ht="15" hidden="1" thickBot="1" x14ac:dyDescent="0.35">
      <c r="A18" s="104" t="s">
        <v>268</v>
      </c>
      <c r="B18" s="105">
        <v>2.2999999999999998</v>
      </c>
      <c r="C18" s="105"/>
      <c r="D18" s="106">
        <v>3</v>
      </c>
      <c r="E18" s="107">
        <v>4</v>
      </c>
      <c r="F18" s="108"/>
      <c r="G18" s="105">
        <v>4</v>
      </c>
      <c r="H18" s="105"/>
      <c r="I18" s="106">
        <v>5</v>
      </c>
      <c r="J18" s="105">
        <v>6</v>
      </c>
      <c r="K18" s="105">
        <v>7</v>
      </c>
      <c r="L18" s="105"/>
      <c r="M18" s="105">
        <v>8</v>
      </c>
      <c r="N18" s="106">
        <v>9</v>
      </c>
      <c r="O18" s="106">
        <v>9</v>
      </c>
      <c r="P18" s="109">
        <v>10</v>
      </c>
      <c r="Q18" s="109"/>
      <c r="R18" s="109"/>
      <c r="S18" s="106">
        <v>11</v>
      </c>
      <c r="T18" s="106"/>
      <c r="U18" s="106"/>
      <c r="V18" s="106">
        <v>13</v>
      </c>
      <c r="W18" s="106"/>
      <c r="X18" s="106"/>
      <c r="Y18" s="106"/>
      <c r="Z18" s="106"/>
      <c r="AA18" s="106"/>
      <c r="AB18" s="106"/>
      <c r="AC18" s="106">
        <v>14</v>
      </c>
    </row>
    <row r="19" spans="1:30" s="111" customFormat="1" x14ac:dyDescent="0.3">
      <c r="A19" s="50"/>
      <c r="B19" s="110" t="s">
        <v>269</v>
      </c>
      <c r="C19" s="110"/>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row>
    <row r="20" spans="1:30" s="112" customFormat="1" x14ac:dyDescent="0.3">
      <c r="A20" s="50"/>
      <c r="B20" s="110" t="s">
        <v>270</v>
      </c>
      <c r="C20" s="110"/>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row>
    <row r="21" spans="1:30" x14ac:dyDescent="0.3">
      <c r="B21" s="110" t="s">
        <v>271</v>
      </c>
      <c r="C21" s="110"/>
    </row>
    <row r="22" spans="1:30" x14ac:dyDescent="0.3">
      <c r="B22" s="110" t="s">
        <v>272</v>
      </c>
      <c r="C22" s="110"/>
    </row>
    <row r="23" spans="1:30" x14ac:dyDescent="0.3">
      <c r="B23" s="110" t="s">
        <v>273</v>
      </c>
      <c r="C23" s="110"/>
    </row>
    <row r="24" spans="1:30" ht="111.75" customHeight="1" x14ac:dyDescent="0.3">
      <c r="B24" s="110"/>
      <c r="C24" s="110"/>
    </row>
    <row r="25" spans="1:30" ht="15" thickBot="1" x14ac:dyDescent="0.35">
      <c r="A25" s="48" t="s">
        <v>256</v>
      </c>
    </row>
    <row r="26" spans="1:30" ht="15" thickBot="1" x14ac:dyDescent="0.35">
      <c r="B26" s="390" t="s">
        <v>257</v>
      </c>
      <c r="C26" s="391"/>
      <c r="D26" s="391"/>
      <c r="E26" s="391"/>
      <c r="F26" s="391"/>
      <c r="G26" s="391"/>
      <c r="H26" s="391"/>
      <c r="I26" s="392"/>
      <c r="J26" s="390" t="s">
        <v>258</v>
      </c>
      <c r="K26" s="391"/>
      <c r="L26" s="391"/>
      <c r="M26" s="391"/>
      <c r="N26" s="391"/>
      <c r="O26" s="392"/>
      <c r="P26" s="390" t="s">
        <v>259</v>
      </c>
      <c r="Q26" s="391"/>
      <c r="R26" s="391"/>
      <c r="S26" s="391"/>
      <c r="T26" s="391"/>
      <c r="U26" s="391"/>
      <c r="V26" s="391" t="s">
        <v>260</v>
      </c>
      <c r="W26" s="391"/>
      <c r="X26" s="391"/>
      <c r="Y26" s="391"/>
      <c r="Z26" s="391"/>
      <c r="AA26" s="391"/>
      <c r="AB26" s="391"/>
      <c r="AC26" s="392"/>
    </row>
    <row r="27" spans="1:30" ht="15" thickBot="1" x14ac:dyDescent="0.35">
      <c r="A27" s="51" t="s">
        <v>261</v>
      </c>
      <c r="B27" s="52">
        <v>1</v>
      </c>
      <c r="C27" s="53">
        <f>+B27+1</f>
        <v>2</v>
      </c>
      <c r="D27" s="53">
        <f t="shared" ref="D27:E27" si="15">+C27+1</f>
        <v>3</v>
      </c>
      <c r="E27" s="53">
        <f t="shared" si="15"/>
        <v>4</v>
      </c>
      <c r="F27" s="53"/>
      <c r="G27" s="54">
        <v>5</v>
      </c>
      <c r="H27" s="54">
        <f>+G27+1</f>
        <v>6</v>
      </c>
      <c r="I27" s="54">
        <f t="shared" ref="I27:AC27" si="16">+H27+1</f>
        <v>7</v>
      </c>
      <c r="J27" s="54">
        <f t="shared" si="16"/>
        <v>8</v>
      </c>
      <c r="K27" s="54">
        <f t="shared" si="16"/>
        <v>9</v>
      </c>
      <c r="L27" s="54">
        <f t="shared" si="16"/>
        <v>10</v>
      </c>
      <c r="M27" s="54">
        <f t="shared" si="16"/>
        <v>11</v>
      </c>
      <c r="N27" s="54">
        <f t="shared" si="16"/>
        <v>12</v>
      </c>
      <c r="O27" s="54">
        <f t="shared" si="16"/>
        <v>13</v>
      </c>
      <c r="P27" s="54">
        <f t="shared" si="16"/>
        <v>14</v>
      </c>
      <c r="Q27" s="54">
        <f t="shared" si="16"/>
        <v>15</v>
      </c>
      <c r="R27" s="54">
        <f t="shared" si="16"/>
        <v>16</v>
      </c>
      <c r="S27" s="54">
        <f t="shared" si="16"/>
        <v>17</v>
      </c>
      <c r="T27" s="54">
        <f t="shared" si="16"/>
        <v>18</v>
      </c>
      <c r="U27" s="54">
        <f t="shared" si="16"/>
        <v>19</v>
      </c>
      <c r="V27" s="54">
        <f t="shared" si="16"/>
        <v>20</v>
      </c>
      <c r="W27" s="54">
        <f t="shared" si="16"/>
        <v>21</v>
      </c>
      <c r="X27" s="54">
        <f t="shared" si="16"/>
        <v>22</v>
      </c>
      <c r="Y27" s="54">
        <f t="shared" si="16"/>
        <v>23</v>
      </c>
      <c r="Z27" s="54">
        <f t="shared" si="16"/>
        <v>24</v>
      </c>
      <c r="AA27" s="54">
        <f t="shared" si="16"/>
        <v>25</v>
      </c>
      <c r="AB27" s="54">
        <f t="shared" si="16"/>
        <v>26</v>
      </c>
      <c r="AC27" s="53">
        <f t="shared" si="16"/>
        <v>27</v>
      </c>
    </row>
    <row r="28" spans="1:30" ht="15" thickBot="1" x14ac:dyDescent="0.35">
      <c r="A28" s="55"/>
      <c r="B28" s="56" t="s">
        <v>262</v>
      </c>
      <c r="C28" s="56" t="s">
        <v>262</v>
      </c>
      <c r="D28" s="56" t="s">
        <v>262</v>
      </c>
      <c r="E28" s="56" t="s">
        <v>262</v>
      </c>
      <c r="F28" s="57"/>
      <c r="G28" s="387" t="s">
        <v>263</v>
      </c>
      <c r="H28" s="388"/>
      <c r="I28" s="388"/>
      <c r="J28" s="388"/>
      <c r="K28" s="388"/>
      <c r="L28" s="388"/>
      <c r="M28" s="388"/>
      <c r="N28" s="388"/>
      <c r="O28" s="388"/>
      <c r="P28" s="388"/>
      <c r="Q28" s="388"/>
      <c r="R28" s="388"/>
      <c r="S28" s="388"/>
      <c r="T28" s="388"/>
      <c r="U28" s="388"/>
      <c r="V28" s="388"/>
      <c r="W28" s="388"/>
      <c r="X28" s="388"/>
      <c r="Y28" s="388"/>
      <c r="Z28" s="388"/>
      <c r="AA28" s="388"/>
      <c r="AB28" s="388"/>
      <c r="AC28" s="389"/>
    </row>
    <row r="29" spans="1:30" s="67" customFormat="1" ht="18.600000000000001" thickBot="1" x14ac:dyDescent="0.35">
      <c r="A29" s="58" t="s">
        <v>264</v>
      </c>
      <c r="B29" s="59">
        <v>8.5</v>
      </c>
      <c r="C29" s="59">
        <v>11</v>
      </c>
      <c r="D29" s="59">
        <v>11</v>
      </c>
      <c r="E29" s="60">
        <v>14</v>
      </c>
      <c r="F29" s="61"/>
      <c r="G29" s="62">
        <v>14</v>
      </c>
      <c r="H29" s="63">
        <v>17</v>
      </c>
      <c r="I29" s="63">
        <v>20</v>
      </c>
      <c r="J29" s="64">
        <v>10</v>
      </c>
      <c r="K29" s="65">
        <v>12</v>
      </c>
      <c r="L29" s="65">
        <v>14</v>
      </c>
      <c r="M29" s="64">
        <v>16</v>
      </c>
      <c r="N29" s="60">
        <v>18</v>
      </c>
      <c r="O29" s="60">
        <v>20</v>
      </c>
      <c r="P29" s="64">
        <v>9</v>
      </c>
      <c r="Q29" s="60">
        <v>11</v>
      </c>
      <c r="R29" s="64">
        <v>12</v>
      </c>
      <c r="S29" s="60">
        <v>14</v>
      </c>
      <c r="T29" s="60">
        <v>16</v>
      </c>
      <c r="U29" s="60">
        <v>17</v>
      </c>
      <c r="V29" s="66">
        <v>12</v>
      </c>
      <c r="W29" s="66">
        <v>13</v>
      </c>
      <c r="X29" s="66">
        <v>14</v>
      </c>
      <c r="Y29" s="66">
        <v>15</v>
      </c>
      <c r="Z29" s="66">
        <v>16</v>
      </c>
      <c r="AA29" s="66">
        <v>17</v>
      </c>
      <c r="AB29" s="66">
        <v>18</v>
      </c>
      <c r="AC29" s="66">
        <v>19</v>
      </c>
    </row>
    <row r="30" spans="1:30" ht="15" thickBot="1" x14ac:dyDescent="0.35">
      <c r="A30" s="68" t="s">
        <v>265</v>
      </c>
      <c r="B30" s="69">
        <f>+[3]Calibration!J7</f>
        <v>1.125</v>
      </c>
      <c r="C30" s="69">
        <f>+[3]Calibration!J9</f>
        <v>1.35</v>
      </c>
      <c r="D30" s="69">
        <f>+[3]Calibration!J10</f>
        <v>1.6</v>
      </c>
      <c r="E30" s="89">
        <v>2</v>
      </c>
      <c r="F30" s="70"/>
      <c r="G30" s="84">
        <v>2</v>
      </c>
      <c r="H30" s="68">
        <v>2.5</v>
      </c>
      <c r="I30" s="113">
        <f>+[3]Calibration!C19</f>
        <v>3</v>
      </c>
      <c r="J30" s="114">
        <f>+[3]Calibration!C9</f>
        <v>1.35</v>
      </c>
      <c r="K30" s="115">
        <f>+[3]Calibration!C11</f>
        <v>1.7</v>
      </c>
      <c r="L30" s="115">
        <f>+[3]Calibration!C13</f>
        <v>2</v>
      </c>
      <c r="M30" s="116">
        <f>+[3]Calibration!C15</f>
        <v>2.2999999999999998</v>
      </c>
      <c r="N30" s="115">
        <f>+[3]Calibration!C17</f>
        <v>2.7</v>
      </c>
      <c r="O30" s="115">
        <f>+[3]Calibration!C19</f>
        <v>3</v>
      </c>
      <c r="P30" s="115">
        <f>+[3]Calibration!C8</f>
        <v>1.25</v>
      </c>
      <c r="Q30" s="115">
        <f>+[3]Calibration!C10</f>
        <v>1.5</v>
      </c>
      <c r="R30" s="115">
        <f>+[3]Calibration!C11</f>
        <v>1.7</v>
      </c>
      <c r="S30" s="115">
        <f>+[3]Calibration!C13</f>
        <v>2</v>
      </c>
      <c r="T30" s="115">
        <f>+[3]Calibration!C15</f>
        <v>2.2999999999999998</v>
      </c>
      <c r="U30" s="115">
        <f>+[3]Calibration!C16</f>
        <v>2.5</v>
      </c>
      <c r="V30" s="115">
        <f>+[3]Calibration!C11</f>
        <v>1.7</v>
      </c>
      <c r="W30" s="115">
        <f>+[3]Calibration!C12</f>
        <v>1.9</v>
      </c>
      <c r="X30" s="115">
        <f>+[3]Calibration!C13</f>
        <v>2</v>
      </c>
      <c r="Y30" s="115">
        <f>+[3]Calibration!C14</f>
        <v>2.2000000000000002</v>
      </c>
      <c r="Z30" s="115">
        <f>+[3]Calibration!C15</f>
        <v>2.2999999999999998</v>
      </c>
      <c r="AA30" s="115">
        <f>+[3]Calibration!C16</f>
        <v>2.5</v>
      </c>
      <c r="AB30" s="115">
        <f>+[3]Calibration!C17</f>
        <v>2.7</v>
      </c>
      <c r="AC30" s="115">
        <f>+[3]Calibration!C18</f>
        <v>2.9</v>
      </c>
      <c r="AD30" s="71">
        <v>0.25</v>
      </c>
    </row>
    <row r="31" spans="1:30" ht="15" thickBot="1" x14ac:dyDescent="0.35">
      <c r="A31" s="51" t="s">
        <v>266</v>
      </c>
      <c r="B31" s="72"/>
      <c r="C31" s="72"/>
      <c r="D31" s="73"/>
      <c r="E31" s="74"/>
      <c r="F31" s="57"/>
      <c r="G31" s="75"/>
      <c r="H31" s="76"/>
      <c r="I31" s="76"/>
      <c r="J31" s="77"/>
      <c r="K31" s="73"/>
      <c r="L31" s="73"/>
      <c r="M31" s="78"/>
      <c r="N31" s="73"/>
      <c r="O31" s="73"/>
      <c r="P31" s="73"/>
      <c r="Q31" s="73"/>
      <c r="R31" s="73"/>
      <c r="S31" s="73"/>
      <c r="T31" s="73"/>
      <c r="U31" s="73"/>
      <c r="V31" s="68">
        <f>+V30</f>
        <v>1.7</v>
      </c>
      <c r="W31" s="68">
        <f t="shared" ref="W31:AB31" si="17">+W30</f>
        <v>1.9</v>
      </c>
      <c r="X31" s="68">
        <f t="shared" si="17"/>
        <v>2</v>
      </c>
      <c r="Y31" s="68">
        <f t="shared" si="17"/>
        <v>2.2000000000000002</v>
      </c>
      <c r="Z31" s="68">
        <f t="shared" si="17"/>
        <v>2.2999999999999998</v>
      </c>
      <c r="AA31" s="68">
        <f t="shared" si="17"/>
        <v>2.5</v>
      </c>
      <c r="AB31" s="68">
        <f t="shared" si="17"/>
        <v>2.7</v>
      </c>
      <c r="AC31" s="68">
        <f>+AC30</f>
        <v>2.9</v>
      </c>
      <c r="AD31" s="71">
        <v>0.27083333333333331</v>
      </c>
    </row>
    <row r="32" spans="1:30" ht="15" thickBot="1" x14ac:dyDescent="0.35">
      <c r="A32" s="79"/>
      <c r="B32" s="76"/>
      <c r="C32" s="76"/>
      <c r="D32" s="76"/>
      <c r="E32" s="74"/>
      <c r="F32" s="80"/>
      <c r="G32" s="80"/>
      <c r="H32" s="81"/>
      <c r="I32" s="81"/>
      <c r="J32" s="81"/>
      <c r="K32" s="81"/>
      <c r="L32" s="81"/>
      <c r="M32" s="81"/>
      <c r="N32" s="81"/>
      <c r="O32" s="81"/>
      <c r="P32" s="81"/>
      <c r="Q32" s="81"/>
      <c r="R32" s="81"/>
      <c r="S32" s="81"/>
      <c r="T32" s="81"/>
      <c r="U32" s="81"/>
      <c r="V32" s="81"/>
      <c r="W32" s="81"/>
      <c r="X32" s="81"/>
      <c r="Y32" s="81"/>
      <c r="Z32" s="81"/>
      <c r="AA32" s="81"/>
      <c r="AB32" s="81"/>
      <c r="AC32" s="81"/>
    </row>
    <row r="33" spans="1:30" ht="15" thickBot="1" x14ac:dyDescent="0.35">
      <c r="A33" s="79"/>
      <c r="B33" s="76"/>
      <c r="C33" s="76"/>
      <c r="D33" s="76"/>
      <c r="E33" s="82"/>
      <c r="F33" s="80"/>
      <c r="G33" s="83"/>
      <c r="H33" s="81"/>
      <c r="I33" s="81"/>
      <c r="J33" s="84">
        <f t="shared" ref="J33:U33" si="18">+J30</f>
        <v>1.35</v>
      </c>
      <c r="K33" s="68">
        <f t="shared" si="18"/>
        <v>1.7</v>
      </c>
      <c r="L33" s="68">
        <f t="shared" si="18"/>
        <v>2</v>
      </c>
      <c r="M33" s="85">
        <f t="shared" si="18"/>
        <v>2.2999999999999998</v>
      </c>
      <c r="N33" s="68">
        <f t="shared" si="18"/>
        <v>2.7</v>
      </c>
      <c r="O33" s="68">
        <f t="shared" si="18"/>
        <v>3</v>
      </c>
      <c r="P33" s="68">
        <f t="shared" si="18"/>
        <v>1.25</v>
      </c>
      <c r="Q33" s="68">
        <f t="shared" si="18"/>
        <v>1.5</v>
      </c>
      <c r="R33" s="68">
        <f t="shared" si="18"/>
        <v>1.7</v>
      </c>
      <c r="S33" s="68">
        <f t="shared" si="18"/>
        <v>2</v>
      </c>
      <c r="T33" s="68">
        <f t="shared" si="18"/>
        <v>2.2999999999999998</v>
      </c>
      <c r="U33" s="68">
        <f t="shared" si="18"/>
        <v>2.5</v>
      </c>
      <c r="V33" s="81"/>
      <c r="W33" s="81"/>
      <c r="X33" s="81"/>
      <c r="Y33" s="81"/>
      <c r="Z33" s="81"/>
      <c r="AA33" s="81"/>
      <c r="AB33" s="81"/>
      <c r="AC33" s="81"/>
      <c r="AD33" s="71">
        <v>0.33333333333333331</v>
      </c>
    </row>
    <row r="34" spans="1:30" ht="15" thickBot="1" x14ac:dyDescent="0.35">
      <c r="A34" s="76"/>
      <c r="B34" s="76"/>
      <c r="C34" s="76"/>
      <c r="D34" s="76"/>
      <c r="E34" s="82"/>
      <c r="F34" s="80"/>
      <c r="G34" s="83"/>
      <c r="H34" s="81"/>
      <c r="I34" s="81"/>
      <c r="J34" s="86"/>
      <c r="K34" s="81"/>
      <c r="L34" s="81"/>
      <c r="M34" s="74"/>
      <c r="N34" s="81"/>
      <c r="O34" s="81"/>
      <c r="P34" s="76"/>
      <c r="Q34" s="76"/>
      <c r="R34" s="76"/>
      <c r="S34" s="76"/>
      <c r="T34" s="76"/>
      <c r="U34" s="76"/>
      <c r="V34" s="68">
        <f>+V31</f>
        <v>1.7</v>
      </c>
      <c r="W34" s="68">
        <f t="shared" ref="W34:AB34" si="19">+W31</f>
        <v>1.9</v>
      </c>
      <c r="X34" s="68">
        <f t="shared" si="19"/>
        <v>2</v>
      </c>
      <c r="Y34" s="68">
        <f t="shared" si="19"/>
        <v>2.2000000000000002</v>
      </c>
      <c r="Z34" s="68">
        <f t="shared" si="19"/>
        <v>2.2999999999999998</v>
      </c>
      <c r="AA34" s="68">
        <f t="shared" si="19"/>
        <v>2.5</v>
      </c>
      <c r="AB34" s="68">
        <f t="shared" si="19"/>
        <v>2.7</v>
      </c>
      <c r="AC34" s="68">
        <f>+AC31</f>
        <v>2.9</v>
      </c>
      <c r="AD34" s="71">
        <v>0.375</v>
      </c>
    </row>
    <row r="35" spans="1:30" ht="15" thickBot="1" x14ac:dyDescent="0.35">
      <c r="A35" s="87"/>
      <c r="B35" s="76"/>
      <c r="C35" s="76"/>
      <c r="D35" s="76"/>
      <c r="E35" s="82"/>
      <c r="F35" s="80"/>
      <c r="G35" s="83"/>
      <c r="H35" s="81"/>
      <c r="I35" s="81"/>
      <c r="J35" s="86"/>
      <c r="K35" s="81"/>
      <c r="L35" s="81"/>
      <c r="M35" s="74"/>
      <c r="N35" s="81"/>
      <c r="O35" s="81"/>
      <c r="P35" s="76"/>
      <c r="Q35" s="76"/>
      <c r="R35" s="76"/>
      <c r="S35" s="76"/>
      <c r="T35" s="76"/>
      <c r="U35" s="76"/>
      <c r="V35" s="81"/>
      <c r="W35" s="81"/>
      <c r="X35" s="81"/>
      <c r="Y35" s="81"/>
      <c r="Z35" s="81"/>
      <c r="AA35" s="81"/>
      <c r="AB35" s="81"/>
      <c r="AC35" s="81"/>
    </row>
    <row r="36" spans="1:30" ht="15" thickBot="1" x14ac:dyDescent="0.35">
      <c r="A36" s="68" t="s">
        <v>267</v>
      </c>
      <c r="B36" s="88">
        <f>+B30</f>
        <v>1.125</v>
      </c>
      <c r="C36" s="88">
        <f t="shared" ref="C36:E36" si="20">+C30</f>
        <v>1.35</v>
      </c>
      <c r="D36" s="88">
        <f t="shared" si="20"/>
        <v>1.6</v>
      </c>
      <c r="E36" s="88">
        <f t="shared" si="20"/>
        <v>2</v>
      </c>
      <c r="F36" s="80"/>
      <c r="G36" s="89">
        <f t="shared" ref="G36:I36" si="21">+G30</f>
        <v>2</v>
      </c>
      <c r="H36" s="89">
        <f t="shared" si="21"/>
        <v>2.5</v>
      </c>
      <c r="I36" s="89">
        <f t="shared" si="21"/>
        <v>3</v>
      </c>
      <c r="J36" s="84">
        <f t="shared" ref="J36:U36" si="22">+J33</f>
        <v>1.35</v>
      </c>
      <c r="K36" s="68">
        <f t="shared" si="22"/>
        <v>1.7</v>
      </c>
      <c r="L36" s="68">
        <f t="shared" si="22"/>
        <v>2</v>
      </c>
      <c r="M36" s="85">
        <f t="shared" si="22"/>
        <v>2.2999999999999998</v>
      </c>
      <c r="N36" s="68">
        <f t="shared" si="22"/>
        <v>2.7</v>
      </c>
      <c r="O36" s="68">
        <f t="shared" si="22"/>
        <v>3</v>
      </c>
      <c r="P36" s="68">
        <f t="shared" si="22"/>
        <v>1.25</v>
      </c>
      <c r="Q36" s="68">
        <f t="shared" si="22"/>
        <v>1.5</v>
      </c>
      <c r="R36" s="68">
        <f t="shared" si="22"/>
        <v>1.7</v>
      </c>
      <c r="S36" s="68">
        <f t="shared" si="22"/>
        <v>2</v>
      </c>
      <c r="T36" s="68">
        <f t="shared" si="22"/>
        <v>2.2999999999999998</v>
      </c>
      <c r="U36" s="68">
        <f t="shared" si="22"/>
        <v>2.5</v>
      </c>
      <c r="V36" s="68">
        <f>+V34</f>
        <v>1.7</v>
      </c>
      <c r="W36" s="68">
        <f t="shared" ref="W36:AB36" si="23">+W34</f>
        <v>1.9</v>
      </c>
      <c r="X36" s="68">
        <f t="shared" si="23"/>
        <v>2</v>
      </c>
      <c r="Y36" s="68">
        <f t="shared" si="23"/>
        <v>2.2000000000000002</v>
      </c>
      <c r="Z36" s="68">
        <f t="shared" si="23"/>
        <v>2.2999999999999998</v>
      </c>
      <c r="AA36" s="68">
        <f t="shared" si="23"/>
        <v>2.5</v>
      </c>
      <c r="AB36" s="68">
        <f t="shared" si="23"/>
        <v>2.7</v>
      </c>
      <c r="AC36" s="68">
        <f>+AC34</f>
        <v>2.9</v>
      </c>
      <c r="AD36" s="71">
        <v>0.58333333333333337</v>
      </c>
    </row>
    <row r="37" spans="1:30" ht="15" thickBot="1" x14ac:dyDescent="0.35">
      <c r="A37" s="87"/>
      <c r="B37" s="75"/>
      <c r="C37" s="75"/>
      <c r="D37" s="76"/>
      <c r="E37" s="82"/>
      <c r="F37" s="80"/>
      <c r="G37" s="75"/>
      <c r="H37" s="76"/>
      <c r="I37" s="76"/>
      <c r="J37" s="86"/>
      <c r="K37" s="81"/>
      <c r="L37" s="81"/>
      <c r="M37" s="74"/>
      <c r="N37" s="81"/>
      <c r="O37" s="81"/>
      <c r="P37" s="76"/>
      <c r="Q37" s="76"/>
      <c r="R37" s="76"/>
      <c r="S37" s="76"/>
      <c r="T37" s="76"/>
      <c r="U37" s="76"/>
      <c r="V37" s="81"/>
      <c r="W37" s="81"/>
      <c r="X37" s="81"/>
      <c r="Y37" s="81"/>
      <c r="Z37" s="81"/>
      <c r="AA37" s="81"/>
      <c r="AB37" s="81"/>
      <c r="AC37" s="81"/>
    </row>
    <row r="38" spans="1:30" ht="15" thickBot="1" x14ac:dyDescent="0.35">
      <c r="A38" s="87"/>
      <c r="B38" s="75"/>
      <c r="C38" s="75"/>
      <c r="D38" s="76"/>
      <c r="E38" s="82"/>
      <c r="F38" s="80"/>
      <c r="G38" s="75"/>
      <c r="H38" s="81"/>
      <c r="I38" s="81"/>
      <c r="J38" s="86"/>
      <c r="K38" s="81"/>
      <c r="L38" s="81"/>
      <c r="M38" s="74"/>
      <c r="N38" s="81"/>
      <c r="O38" s="81"/>
      <c r="P38" s="68">
        <f>+P36</f>
        <v>1.25</v>
      </c>
      <c r="Q38" s="68">
        <f t="shared" ref="Q38:R38" si="24">+Q36</f>
        <v>1.5</v>
      </c>
      <c r="R38" s="68">
        <f t="shared" si="24"/>
        <v>1.7</v>
      </c>
      <c r="S38" s="68">
        <f>+S36</f>
        <v>2</v>
      </c>
      <c r="T38" s="68">
        <f t="shared" ref="T38:U38" si="25">+T36</f>
        <v>2.2999999999999998</v>
      </c>
      <c r="U38" s="68">
        <f t="shared" si="25"/>
        <v>2.5</v>
      </c>
      <c r="V38" s="68">
        <f>+V36</f>
        <v>1.7</v>
      </c>
      <c r="W38" s="68">
        <f t="shared" ref="W38:AB38" si="26">+W36</f>
        <v>1.9</v>
      </c>
      <c r="X38" s="68">
        <f t="shared" si="26"/>
        <v>2</v>
      </c>
      <c r="Y38" s="68">
        <f t="shared" si="26"/>
        <v>2.2000000000000002</v>
      </c>
      <c r="Z38" s="68">
        <f t="shared" si="26"/>
        <v>2.2999999999999998</v>
      </c>
      <c r="AA38" s="68">
        <f t="shared" si="26"/>
        <v>2.5</v>
      </c>
      <c r="AB38" s="68">
        <f t="shared" si="26"/>
        <v>2.7</v>
      </c>
      <c r="AC38" s="68">
        <f>+AC36</f>
        <v>2.9</v>
      </c>
      <c r="AD38" s="71">
        <v>0.625</v>
      </c>
    </row>
    <row r="39" spans="1:30" ht="15" thickBot="1" x14ac:dyDescent="0.35">
      <c r="A39" s="90"/>
      <c r="B39" s="91"/>
      <c r="C39" s="91"/>
      <c r="D39" s="92"/>
      <c r="E39" s="93"/>
      <c r="F39" s="94"/>
      <c r="G39" s="94"/>
      <c r="H39" s="95"/>
      <c r="I39" s="95"/>
      <c r="J39" s="96"/>
      <c r="K39" s="97"/>
      <c r="L39" s="97"/>
      <c r="M39" s="98"/>
      <c r="N39" s="97"/>
      <c r="O39" s="97"/>
      <c r="P39" s="99"/>
      <c r="Q39" s="99"/>
      <c r="R39" s="99"/>
      <c r="S39" s="99"/>
      <c r="T39" s="99"/>
      <c r="U39" s="99"/>
      <c r="V39" s="95"/>
      <c r="W39" s="95"/>
      <c r="X39" s="95"/>
      <c r="Y39" s="95"/>
      <c r="Z39" s="95"/>
      <c r="AA39" s="95"/>
      <c r="AB39" s="95"/>
      <c r="AC39" s="95"/>
    </row>
    <row r="40" spans="1:30" ht="15" thickBot="1" x14ac:dyDescent="0.35">
      <c r="A40" s="100" t="s">
        <v>268</v>
      </c>
      <c r="B40" s="101">
        <f>SUM(B30:B39)</f>
        <v>2.25</v>
      </c>
      <c r="C40" s="101">
        <f t="shared" ref="C40:E40" si="27">SUM(C30:C39)</f>
        <v>2.7</v>
      </c>
      <c r="D40" s="101">
        <f t="shared" si="27"/>
        <v>3.2</v>
      </c>
      <c r="E40" s="102">
        <f t="shared" si="27"/>
        <v>4</v>
      </c>
      <c r="F40" s="103"/>
      <c r="G40" s="101">
        <f t="shared" ref="G40:AC40" si="28">SUM(G30:G39)</f>
        <v>4</v>
      </c>
      <c r="H40" s="101">
        <f t="shared" si="28"/>
        <v>5</v>
      </c>
      <c r="I40" s="101">
        <f t="shared" si="28"/>
        <v>6</v>
      </c>
      <c r="J40" s="101">
        <f t="shared" si="28"/>
        <v>4.0500000000000007</v>
      </c>
      <c r="K40" s="101">
        <f t="shared" si="28"/>
        <v>5.0999999999999996</v>
      </c>
      <c r="L40" s="101">
        <f t="shared" si="28"/>
        <v>6</v>
      </c>
      <c r="M40" s="101">
        <f t="shared" si="28"/>
        <v>6.8999999999999995</v>
      </c>
      <c r="N40" s="101">
        <f t="shared" si="28"/>
        <v>8.1000000000000014</v>
      </c>
      <c r="O40" s="101">
        <f t="shared" si="28"/>
        <v>9</v>
      </c>
      <c r="P40" s="101">
        <f t="shared" si="28"/>
        <v>5</v>
      </c>
      <c r="Q40" s="101">
        <f t="shared" si="28"/>
        <v>6</v>
      </c>
      <c r="R40" s="101">
        <f t="shared" si="28"/>
        <v>6.8</v>
      </c>
      <c r="S40" s="101">
        <f t="shared" si="28"/>
        <v>8</v>
      </c>
      <c r="T40" s="101">
        <f t="shared" si="28"/>
        <v>9.1999999999999993</v>
      </c>
      <c r="U40" s="101">
        <f t="shared" si="28"/>
        <v>10</v>
      </c>
      <c r="V40" s="101">
        <f t="shared" si="28"/>
        <v>8.5</v>
      </c>
      <c r="W40" s="101">
        <f t="shared" si="28"/>
        <v>9.5</v>
      </c>
      <c r="X40" s="101">
        <f t="shared" si="28"/>
        <v>10</v>
      </c>
      <c r="Y40" s="101">
        <f t="shared" si="28"/>
        <v>11</v>
      </c>
      <c r="Z40" s="101">
        <f t="shared" si="28"/>
        <v>11.5</v>
      </c>
      <c r="AA40" s="101">
        <f t="shared" si="28"/>
        <v>12.5</v>
      </c>
      <c r="AB40" s="101">
        <f t="shared" si="28"/>
        <v>13.5</v>
      </c>
      <c r="AC40" s="102">
        <f t="shared" si="28"/>
        <v>14.5</v>
      </c>
    </row>
    <row r="41" spans="1:30" ht="15" hidden="1" thickBot="1" x14ac:dyDescent="0.35">
      <c r="A41" s="104" t="s">
        <v>268</v>
      </c>
      <c r="B41" s="105">
        <v>2.2999999999999998</v>
      </c>
      <c r="C41" s="105"/>
      <c r="D41" s="106">
        <v>3</v>
      </c>
      <c r="E41" s="107">
        <v>4</v>
      </c>
      <c r="F41" s="108"/>
      <c r="G41" s="105">
        <v>4</v>
      </c>
      <c r="H41" s="105"/>
      <c r="I41" s="106">
        <v>5</v>
      </c>
      <c r="J41" s="105">
        <v>6</v>
      </c>
      <c r="K41" s="105">
        <v>7</v>
      </c>
      <c r="L41" s="105">
        <v>7</v>
      </c>
      <c r="M41" s="105">
        <v>8</v>
      </c>
      <c r="N41" s="106">
        <v>9</v>
      </c>
      <c r="O41" s="106">
        <v>9</v>
      </c>
      <c r="P41" s="109">
        <v>10</v>
      </c>
      <c r="Q41" s="109"/>
      <c r="R41" s="109"/>
      <c r="S41" s="106">
        <v>11</v>
      </c>
      <c r="T41" s="106"/>
      <c r="U41" s="106"/>
      <c r="V41" s="106">
        <v>13</v>
      </c>
      <c r="W41" s="106"/>
      <c r="X41" s="106"/>
      <c r="Y41" s="106"/>
      <c r="Z41" s="106"/>
      <c r="AA41" s="106"/>
      <c r="AB41" s="106"/>
      <c r="AC41" s="106">
        <v>14</v>
      </c>
    </row>
    <row r="42" spans="1:30" s="111" customFormat="1" x14ac:dyDescent="0.3">
      <c r="A42" s="50"/>
      <c r="B42" s="110" t="s">
        <v>269</v>
      </c>
      <c r="C42" s="110"/>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row>
    <row r="43" spans="1:30" s="112" customFormat="1" x14ac:dyDescent="0.3">
      <c r="A43" s="50"/>
      <c r="B43" s="110" t="s">
        <v>270</v>
      </c>
      <c r="C43" s="110"/>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row>
    <row r="44" spans="1:30" x14ac:dyDescent="0.3">
      <c r="B44" s="110" t="s">
        <v>271</v>
      </c>
      <c r="C44" s="110"/>
    </row>
    <row r="45" spans="1:30" x14ac:dyDescent="0.3">
      <c r="B45" s="110" t="s">
        <v>272</v>
      </c>
      <c r="C45" s="110"/>
    </row>
    <row r="46" spans="1:30" x14ac:dyDescent="0.3">
      <c r="B46" s="110" t="s">
        <v>273</v>
      </c>
      <c r="C46" s="110"/>
    </row>
  </sheetData>
  <mergeCells count="10">
    <mergeCell ref="G28:AC28"/>
    <mergeCell ref="B3:I3"/>
    <mergeCell ref="J3:O3"/>
    <mergeCell ref="P3:U3"/>
    <mergeCell ref="V3:AC3"/>
    <mergeCell ref="G5:AC5"/>
    <mergeCell ref="B26:I26"/>
    <mergeCell ref="J26:O26"/>
    <mergeCell ref="P26:U26"/>
    <mergeCell ref="V26:AC26"/>
  </mergeCells>
  <pageMargins left="0.2" right="0" top="0.75" bottom="0.25" header="0.3" footer="0.3"/>
  <pageSetup scale="6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29CD0-B2F4-413B-8C86-8BB5242ED71C}">
  <sheetPr>
    <pageSetUpPr fitToPage="1"/>
  </sheetPr>
  <dimension ref="A1:AA46"/>
  <sheetViews>
    <sheetView topLeftCell="A24" zoomScale="90" zoomScaleNormal="90" workbookViewId="0">
      <selection activeCell="N24" sqref="N24"/>
    </sheetView>
  </sheetViews>
  <sheetFormatPr defaultColWidth="10.6640625" defaultRowHeight="15.6" x14ac:dyDescent="0.3"/>
  <cols>
    <col min="1" max="1" width="10.6640625" style="47"/>
    <col min="2" max="4" width="8.109375" style="118" customWidth="1"/>
    <col min="5" max="5" width="3" style="118" customWidth="1"/>
    <col min="6" max="26" width="8.109375" style="118" customWidth="1"/>
    <col min="27" max="27" width="8.109375" style="119" customWidth="1"/>
    <col min="28" max="16384" width="10.6640625" style="47"/>
  </cols>
  <sheetData>
    <row r="1" spans="1:27" ht="21.6" thickBot="1" x14ac:dyDescent="0.45">
      <c r="A1" s="117" t="s">
        <v>256</v>
      </c>
    </row>
    <row r="2" spans="1:27" ht="16.2" thickBot="1" x14ac:dyDescent="0.35">
      <c r="B2" s="396" t="s">
        <v>257</v>
      </c>
      <c r="C2" s="397"/>
      <c r="D2" s="398"/>
      <c r="F2" s="396" t="s">
        <v>257</v>
      </c>
      <c r="G2" s="397"/>
      <c r="H2" s="398"/>
      <c r="I2" s="396" t="s">
        <v>258</v>
      </c>
      <c r="J2" s="397"/>
      <c r="K2" s="397"/>
      <c r="L2" s="397"/>
      <c r="M2" s="397"/>
      <c r="N2" s="398"/>
      <c r="O2" s="396" t="s">
        <v>259</v>
      </c>
      <c r="P2" s="397"/>
      <c r="Q2" s="397"/>
      <c r="R2" s="397"/>
      <c r="S2" s="397"/>
      <c r="T2" s="396" t="s">
        <v>260</v>
      </c>
      <c r="U2" s="397"/>
      <c r="V2" s="397"/>
      <c r="W2" s="397"/>
      <c r="X2" s="397"/>
      <c r="Y2" s="397"/>
      <c r="Z2" s="398"/>
    </row>
    <row r="3" spans="1:27" ht="16.2" thickBot="1" x14ac:dyDescent="0.35">
      <c r="A3" s="120" t="s">
        <v>261</v>
      </c>
      <c r="B3" s="121">
        <v>1</v>
      </c>
      <c r="C3" s="122">
        <v>2</v>
      </c>
      <c r="D3" s="121">
        <v>3</v>
      </c>
      <c r="E3" s="122"/>
      <c r="F3" s="123">
        <v>4</v>
      </c>
      <c r="G3" s="123">
        <v>5</v>
      </c>
      <c r="H3" s="123">
        <v>6</v>
      </c>
      <c r="I3" s="123">
        <f>+H3+1</f>
        <v>7</v>
      </c>
      <c r="J3" s="123">
        <f t="shared" ref="J3:Z3" si="0">+I3+1</f>
        <v>8</v>
      </c>
      <c r="K3" s="123">
        <f t="shared" si="0"/>
        <v>9</v>
      </c>
      <c r="L3" s="123">
        <f t="shared" si="0"/>
        <v>10</v>
      </c>
      <c r="M3" s="123">
        <f t="shared" si="0"/>
        <v>11</v>
      </c>
      <c r="N3" s="121">
        <f t="shared" si="0"/>
        <v>12</v>
      </c>
      <c r="O3" s="121">
        <f t="shared" si="0"/>
        <v>13</v>
      </c>
      <c r="P3" s="121">
        <f t="shared" si="0"/>
        <v>14</v>
      </c>
      <c r="Q3" s="121">
        <f t="shared" si="0"/>
        <v>15</v>
      </c>
      <c r="R3" s="121">
        <f t="shared" si="0"/>
        <v>16</v>
      </c>
      <c r="S3" s="121">
        <f t="shared" si="0"/>
        <v>17</v>
      </c>
      <c r="T3" s="121">
        <f t="shared" si="0"/>
        <v>18</v>
      </c>
      <c r="U3" s="121">
        <f t="shared" si="0"/>
        <v>19</v>
      </c>
      <c r="V3" s="121">
        <f t="shared" si="0"/>
        <v>20</v>
      </c>
      <c r="W3" s="121">
        <f t="shared" si="0"/>
        <v>21</v>
      </c>
      <c r="X3" s="121">
        <f t="shared" si="0"/>
        <v>22</v>
      </c>
      <c r="Y3" s="121">
        <f t="shared" si="0"/>
        <v>23</v>
      </c>
      <c r="Z3" s="121">
        <f t="shared" si="0"/>
        <v>24</v>
      </c>
    </row>
    <row r="4" spans="1:27" ht="16.2" thickBot="1" x14ac:dyDescent="0.35">
      <c r="A4" s="124"/>
      <c r="B4" s="125" t="s">
        <v>262</v>
      </c>
      <c r="C4" s="125" t="s">
        <v>262</v>
      </c>
      <c r="D4" s="125" t="s">
        <v>262</v>
      </c>
      <c r="E4" s="123"/>
      <c r="F4" s="393" t="s">
        <v>281</v>
      </c>
      <c r="G4" s="394"/>
      <c r="H4" s="394"/>
      <c r="I4" s="394"/>
      <c r="J4" s="394"/>
      <c r="K4" s="394"/>
      <c r="L4" s="394"/>
      <c r="M4" s="394"/>
      <c r="N4" s="394"/>
      <c r="O4" s="394"/>
      <c r="P4" s="394"/>
      <c r="Q4" s="394"/>
      <c r="R4" s="394"/>
      <c r="S4" s="394"/>
      <c r="T4" s="394"/>
      <c r="U4" s="394"/>
      <c r="V4" s="394"/>
      <c r="W4" s="394"/>
      <c r="X4" s="394"/>
      <c r="Y4" s="394"/>
      <c r="Z4" s="395"/>
    </row>
    <row r="5" spans="1:27" s="134" customFormat="1" ht="18.600000000000001" thickBot="1" x14ac:dyDescent="0.4">
      <c r="A5" s="126" t="s">
        <v>282</v>
      </c>
      <c r="B5" s="127">
        <v>9</v>
      </c>
      <c r="C5" s="128">
        <v>13</v>
      </c>
      <c r="D5" s="129">
        <v>13</v>
      </c>
      <c r="E5" s="130"/>
      <c r="F5" s="128">
        <v>13</v>
      </c>
      <c r="G5" s="131">
        <v>15</v>
      </c>
      <c r="H5" s="131">
        <v>18</v>
      </c>
      <c r="I5" s="131">
        <v>9</v>
      </c>
      <c r="J5" s="131">
        <v>11</v>
      </c>
      <c r="K5" s="131">
        <v>13</v>
      </c>
      <c r="L5" s="131">
        <v>16</v>
      </c>
      <c r="M5" s="131">
        <v>18</v>
      </c>
      <c r="N5" s="131">
        <v>20</v>
      </c>
      <c r="O5" s="128">
        <v>11</v>
      </c>
      <c r="P5" s="128">
        <v>13</v>
      </c>
      <c r="Q5" s="128">
        <v>15</v>
      </c>
      <c r="R5" s="128">
        <v>17</v>
      </c>
      <c r="S5" s="128">
        <v>19</v>
      </c>
      <c r="T5" s="132">
        <v>12</v>
      </c>
      <c r="U5" s="132">
        <v>13</v>
      </c>
      <c r="V5" s="132">
        <v>15</v>
      </c>
      <c r="W5" s="132">
        <v>17</v>
      </c>
      <c r="X5" s="132">
        <v>18</v>
      </c>
      <c r="Y5" s="132">
        <v>19</v>
      </c>
      <c r="Z5" s="132">
        <v>20</v>
      </c>
      <c r="AA5" s="133"/>
    </row>
    <row r="6" spans="1:27" ht="16.2" thickBot="1" x14ac:dyDescent="0.35">
      <c r="A6" s="135" t="s">
        <v>265</v>
      </c>
      <c r="B6" s="136">
        <f>+[3]Calibration!J8</f>
        <v>1.25</v>
      </c>
      <c r="C6" s="137">
        <v>1.75</v>
      </c>
      <c r="D6" s="137">
        <v>1.75</v>
      </c>
      <c r="E6" s="137"/>
      <c r="F6" s="138">
        <v>1.75</v>
      </c>
      <c r="G6" s="136">
        <f>+[3]Calibration!C14</f>
        <v>2.2000000000000002</v>
      </c>
      <c r="H6" s="136">
        <f>+[3]Calibration!C17</f>
        <v>2.7</v>
      </c>
      <c r="I6" s="136">
        <f>+[3]Calibration!C8</f>
        <v>1.25</v>
      </c>
      <c r="J6" s="136">
        <f>+[3]Calibration!C10</f>
        <v>1.5</v>
      </c>
      <c r="K6" s="137">
        <v>1.9</v>
      </c>
      <c r="L6" s="136">
        <f>+[3]Calibration!C15</f>
        <v>2.2999999999999998</v>
      </c>
      <c r="M6" s="136">
        <f>+[3]Calibration!C17</f>
        <v>2.7</v>
      </c>
      <c r="N6" s="136">
        <f>+[3]Calibration!C19</f>
        <v>3</v>
      </c>
      <c r="O6" s="139">
        <f>+[3]Calibration!C10</f>
        <v>1.5</v>
      </c>
      <c r="P6" s="139">
        <f>+[3]Calibration!C12</f>
        <v>1.9</v>
      </c>
      <c r="Q6" s="139">
        <f>+[3]Calibration!C14</f>
        <v>2.2000000000000002</v>
      </c>
      <c r="R6" s="139">
        <f>+[3]Calibration!C16</f>
        <v>2.5</v>
      </c>
      <c r="S6" s="139">
        <f>+[3]Calibration!C18</f>
        <v>2.9</v>
      </c>
      <c r="T6" s="136">
        <f>+[3]Calibration!C11</f>
        <v>1.7</v>
      </c>
      <c r="U6" s="139">
        <f>+[3]Calibration!C12</f>
        <v>1.9</v>
      </c>
      <c r="V6" s="139">
        <f>+[3]Calibration!C14</f>
        <v>2.2000000000000002</v>
      </c>
      <c r="W6" s="139">
        <f>+[3]Calibration!C16</f>
        <v>2.5</v>
      </c>
      <c r="X6" s="139">
        <f>+[3]Calibration!C17</f>
        <v>2.7</v>
      </c>
      <c r="Y6" s="140">
        <f>+[3]Calibration!C18</f>
        <v>2.9</v>
      </c>
      <c r="Z6" s="137">
        <v>3</v>
      </c>
      <c r="AA6" s="141">
        <v>0.25</v>
      </c>
    </row>
    <row r="7" spans="1:27" ht="16.2" thickBot="1" x14ac:dyDescent="0.35">
      <c r="A7" s="120" t="s">
        <v>266</v>
      </c>
      <c r="B7" s="142"/>
      <c r="C7" s="143"/>
      <c r="D7" s="144"/>
      <c r="E7" s="145"/>
      <c r="F7" s="144"/>
      <c r="G7" s="146"/>
      <c r="H7" s="146"/>
      <c r="I7" s="146"/>
      <c r="J7" s="146"/>
      <c r="K7" s="146"/>
      <c r="L7" s="146"/>
      <c r="M7" s="146"/>
      <c r="N7" s="146"/>
      <c r="O7" s="147"/>
      <c r="P7" s="147"/>
      <c r="Q7" s="147"/>
      <c r="R7" s="147"/>
      <c r="S7" s="147"/>
      <c r="T7" s="148"/>
      <c r="U7" s="147"/>
      <c r="V7" s="147"/>
      <c r="W7" s="147"/>
      <c r="X7" s="147"/>
      <c r="Y7" s="149"/>
      <c r="Z7" s="143"/>
    </row>
    <row r="8" spans="1:27" ht="16.2" thickBot="1" x14ac:dyDescent="0.35">
      <c r="A8" s="150"/>
      <c r="B8" s="151"/>
      <c r="C8" s="148"/>
      <c r="D8" s="144"/>
      <c r="E8" s="152"/>
      <c r="F8" s="144"/>
      <c r="G8" s="148"/>
      <c r="H8" s="148"/>
      <c r="I8" s="148"/>
      <c r="J8" s="148"/>
      <c r="K8" s="148"/>
      <c r="L8" s="148"/>
      <c r="M8" s="148"/>
      <c r="N8" s="148"/>
      <c r="O8" s="137">
        <f t="shared" ref="O8:Z8" si="1">+O6</f>
        <v>1.5</v>
      </c>
      <c r="P8" s="137">
        <f t="shared" si="1"/>
        <v>1.9</v>
      </c>
      <c r="Q8" s="137">
        <f t="shared" si="1"/>
        <v>2.2000000000000002</v>
      </c>
      <c r="R8" s="137">
        <f t="shared" si="1"/>
        <v>2.5</v>
      </c>
      <c r="S8" s="137">
        <f t="shared" si="1"/>
        <v>2.9</v>
      </c>
      <c r="T8" s="137">
        <f t="shared" si="1"/>
        <v>1.7</v>
      </c>
      <c r="U8" s="153">
        <f t="shared" si="1"/>
        <v>1.9</v>
      </c>
      <c r="V8" s="153">
        <f t="shared" si="1"/>
        <v>2.2000000000000002</v>
      </c>
      <c r="W8" s="153">
        <f t="shared" si="1"/>
        <v>2.5</v>
      </c>
      <c r="X8" s="153">
        <f t="shared" si="1"/>
        <v>2.7</v>
      </c>
      <c r="Y8" s="154">
        <f t="shared" si="1"/>
        <v>2.9</v>
      </c>
      <c r="Z8" s="137">
        <f t="shared" si="1"/>
        <v>3</v>
      </c>
      <c r="AA8" s="141">
        <v>0.27083333333333331</v>
      </c>
    </row>
    <row r="9" spans="1:27" ht="16.2" thickBot="1" x14ac:dyDescent="0.35">
      <c r="A9" s="150"/>
      <c r="B9" s="155"/>
      <c r="C9" s="146"/>
      <c r="D9" s="156"/>
      <c r="E9" s="152"/>
      <c r="F9" s="156"/>
      <c r="G9" s="146"/>
      <c r="H9" s="146"/>
      <c r="I9" s="148"/>
      <c r="J9" s="148"/>
      <c r="K9" s="148"/>
      <c r="L9" s="148"/>
      <c r="M9" s="148"/>
      <c r="N9" s="148"/>
      <c r="O9" s="148"/>
      <c r="P9" s="148"/>
      <c r="Q9" s="148"/>
      <c r="R9" s="148"/>
      <c r="S9" s="148"/>
      <c r="T9" s="148"/>
      <c r="U9" s="157"/>
      <c r="V9" s="157"/>
      <c r="W9" s="157"/>
      <c r="X9" s="157"/>
      <c r="Y9" s="144"/>
      <c r="Z9" s="148"/>
    </row>
    <row r="10" spans="1:27" ht="16.2" thickBot="1" x14ac:dyDescent="0.35">
      <c r="A10" s="150"/>
      <c r="B10" s="155"/>
      <c r="C10" s="146"/>
      <c r="D10" s="144"/>
      <c r="E10" s="152"/>
      <c r="F10" s="144"/>
      <c r="G10" s="148"/>
      <c r="H10" s="148"/>
      <c r="I10" s="158">
        <f t="shared" ref="I10:M10" si="2">+I6</f>
        <v>1.25</v>
      </c>
      <c r="J10" s="158">
        <f t="shared" si="2"/>
        <v>1.5</v>
      </c>
      <c r="K10" s="158">
        <f t="shared" si="2"/>
        <v>1.9</v>
      </c>
      <c r="L10" s="158">
        <f t="shared" si="2"/>
        <v>2.2999999999999998</v>
      </c>
      <c r="M10" s="158">
        <f t="shared" si="2"/>
        <v>2.7</v>
      </c>
      <c r="N10" s="158">
        <f>+N6</f>
        <v>3</v>
      </c>
      <c r="O10" s="148"/>
      <c r="P10" s="148"/>
      <c r="Q10" s="148"/>
      <c r="R10" s="148"/>
      <c r="S10" s="148"/>
      <c r="T10" s="148"/>
      <c r="U10" s="157"/>
      <c r="V10" s="157"/>
      <c r="W10" s="157"/>
      <c r="X10" s="157"/>
      <c r="Y10" s="144"/>
      <c r="Z10" s="148"/>
      <c r="AA10" s="141">
        <v>0.33333333333333331</v>
      </c>
    </row>
    <row r="11" spans="1:27" ht="16.2" thickBot="1" x14ac:dyDescent="0.35">
      <c r="A11" s="150"/>
      <c r="B11" s="155"/>
      <c r="C11" s="146"/>
      <c r="D11" s="156"/>
      <c r="E11" s="152"/>
      <c r="F11" s="156"/>
      <c r="G11" s="146"/>
      <c r="H11" s="146"/>
      <c r="I11" s="143"/>
      <c r="J11" s="143"/>
      <c r="K11" s="143"/>
      <c r="L11" s="143"/>
      <c r="M11" s="143"/>
      <c r="N11" s="143"/>
      <c r="O11" s="153">
        <f t="shared" ref="O11:Z11" si="3">+O8</f>
        <v>1.5</v>
      </c>
      <c r="P11" s="153">
        <f t="shared" si="3"/>
        <v>1.9</v>
      </c>
      <c r="Q11" s="153">
        <f t="shared" si="3"/>
        <v>2.2000000000000002</v>
      </c>
      <c r="R11" s="153">
        <f t="shared" si="3"/>
        <v>2.5</v>
      </c>
      <c r="S11" s="153">
        <f t="shared" si="3"/>
        <v>2.9</v>
      </c>
      <c r="T11" s="137">
        <f t="shared" si="3"/>
        <v>1.7</v>
      </c>
      <c r="U11" s="153">
        <f t="shared" si="3"/>
        <v>1.9</v>
      </c>
      <c r="V11" s="153">
        <f t="shared" si="3"/>
        <v>2.2000000000000002</v>
      </c>
      <c r="W11" s="153">
        <f t="shared" si="3"/>
        <v>2.5</v>
      </c>
      <c r="X11" s="153">
        <f t="shared" si="3"/>
        <v>2.7</v>
      </c>
      <c r="Y11" s="154">
        <f t="shared" si="3"/>
        <v>2.9</v>
      </c>
      <c r="Z11" s="137">
        <f t="shared" si="3"/>
        <v>3</v>
      </c>
      <c r="AA11" s="141">
        <v>0.375</v>
      </c>
    </row>
    <row r="12" spans="1:27" ht="16.2" thickBot="1" x14ac:dyDescent="0.35">
      <c r="A12" s="159"/>
      <c r="B12" s="160"/>
      <c r="C12" s="152"/>
      <c r="E12" s="152"/>
      <c r="G12" s="152"/>
      <c r="H12" s="152"/>
      <c r="I12" s="161"/>
      <c r="J12" s="161"/>
      <c r="K12" s="161"/>
      <c r="L12" s="161"/>
      <c r="M12" s="161"/>
      <c r="N12" s="161"/>
      <c r="O12" s="148"/>
      <c r="P12" s="148"/>
      <c r="Q12" s="148"/>
      <c r="R12" s="148"/>
      <c r="S12" s="148"/>
      <c r="T12" s="148"/>
      <c r="U12" s="148"/>
      <c r="V12" s="148"/>
      <c r="W12" s="148"/>
      <c r="X12" s="148"/>
      <c r="Y12" s="148"/>
      <c r="Z12" s="148"/>
    </row>
    <row r="13" spans="1:27" ht="16.2" thickBot="1" x14ac:dyDescent="0.35">
      <c r="A13" s="135" t="s">
        <v>267</v>
      </c>
      <c r="B13" s="139">
        <f>+B6</f>
        <v>1.25</v>
      </c>
      <c r="C13" s="153">
        <f t="shared" ref="C13:D13" si="4">+C6</f>
        <v>1.75</v>
      </c>
      <c r="D13" s="153">
        <f t="shared" si="4"/>
        <v>1.75</v>
      </c>
      <c r="E13" s="152"/>
      <c r="F13" s="154">
        <f t="shared" ref="F13" si="5">+F6</f>
        <v>1.75</v>
      </c>
      <c r="G13" s="136">
        <f>+G6</f>
        <v>2.2000000000000002</v>
      </c>
      <c r="H13" s="136">
        <f>+H6</f>
        <v>2.7</v>
      </c>
      <c r="I13" s="137">
        <f t="shared" ref="I13:M13" si="6">+I10</f>
        <v>1.25</v>
      </c>
      <c r="J13" s="137">
        <f t="shared" si="6"/>
        <v>1.5</v>
      </c>
      <c r="K13" s="137">
        <f t="shared" si="6"/>
        <v>1.9</v>
      </c>
      <c r="L13" s="137">
        <f t="shared" si="6"/>
        <v>2.2999999999999998</v>
      </c>
      <c r="M13" s="137">
        <f t="shared" si="6"/>
        <v>2.7</v>
      </c>
      <c r="N13" s="137">
        <f>+N10</f>
        <v>3</v>
      </c>
      <c r="O13" s="148"/>
      <c r="P13" s="148"/>
      <c r="Q13" s="148"/>
      <c r="R13" s="148"/>
      <c r="S13" s="148"/>
      <c r="T13" s="137">
        <f t="shared" ref="T13:Z13" si="7">+T11</f>
        <v>1.7</v>
      </c>
      <c r="U13" s="153">
        <f t="shared" si="7"/>
        <v>1.9</v>
      </c>
      <c r="V13" s="153">
        <f t="shared" si="7"/>
        <v>2.2000000000000002</v>
      </c>
      <c r="W13" s="153">
        <f t="shared" si="7"/>
        <v>2.5</v>
      </c>
      <c r="X13" s="153">
        <f t="shared" si="7"/>
        <v>2.7</v>
      </c>
      <c r="Y13" s="154">
        <f t="shared" si="7"/>
        <v>2.9</v>
      </c>
      <c r="Z13" s="137">
        <f t="shared" si="7"/>
        <v>3</v>
      </c>
      <c r="AA13" s="141">
        <v>0.58333333333333337</v>
      </c>
    </row>
    <row r="14" spans="1:27" ht="16.2" thickBot="1" x14ac:dyDescent="0.35">
      <c r="A14" s="162"/>
      <c r="B14" s="142"/>
      <c r="C14" s="143"/>
      <c r="D14" s="149"/>
      <c r="E14" s="152"/>
      <c r="F14" s="149"/>
      <c r="G14" s="146"/>
      <c r="H14" s="146"/>
      <c r="I14" s="148"/>
      <c r="J14" s="148"/>
      <c r="K14" s="148"/>
      <c r="L14" s="148"/>
      <c r="M14" s="148"/>
      <c r="N14" s="148"/>
      <c r="O14" s="148"/>
      <c r="P14" s="148"/>
      <c r="Q14" s="148"/>
      <c r="R14" s="148"/>
      <c r="S14" s="148"/>
      <c r="T14" s="148"/>
      <c r="U14" s="148"/>
      <c r="V14" s="148"/>
      <c r="W14" s="148"/>
      <c r="X14" s="148"/>
      <c r="Y14" s="148"/>
      <c r="Z14" s="148"/>
    </row>
    <row r="15" spans="1:27" ht="16.2" thickBot="1" x14ac:dyDescent="0.35">
      <c r="A15" s="162"/>
      <c r="B15" s="155"/>
      <c r="C15" s="146"/>
      <c r="D15" s="156"/>
      <c r="E15" s="152"/>
      <c r="F15" s="156"/>
      <c r="G15" s="146"/>
      <c r="H15" s="146"/>
      <c r="I15" s="148"/>
      <c r="J15" s="148"/>
      <c r="K15" s="148"/>
      <c r="L15" s="148"/>
      <c r="M15" s="148"/>
      <c r="N15" s="148"/>
      <c r="O15" s="153">
        <f>+O11</f>
        <v>1.5</v>
      </c>
      <c r="P15" s="153">
        <f t="shared" ref="P15:S15" si="8">+P11</f>
        <v>1.9</v>
      </c>
      <c r="Q15" s="153">
        <f t="shared" si="8"/>
        <v>2.2000000000000002</v>
      </c>
      <c r="R15" s="153">
        <f t="shared" si="8"/>
        <v>2.5</v>
      </c>
      <c r="S15" s="153">
        <f t="shared" si="8"/>
        <v>2.9</v>
      </c>
      <c r="T15" s="137">
        <f t="shared" ref="T15:Z15" si="9">+T13</f>
        <v>1.7</v>
      </c>
      <c r="U15" s="153">
        <f t="shared" si="9"/>
        <v>1.9</v>
      </c>
      <c r="V15" s="153">
        <f t="shared" si="9"/>
        <v>2.2000000000000002</v>
      </c>
      <c r="W15" s="153">
        <f t="shared" si="9"/>
        <v>2.5</v>
      </c>
      <c r="X15" s="153">
        <f t="shared" si="9"/>
        <v>2.7</v>
      </c>
      <c r="Y15" s="154">
        <f t="shared" si="9"/>
        <v>2.9</v>
      </c>
      <c r="Z15" s="137">
        <f t="shared" si="9"/>
        <v>3</v>
      </c>
      <c r="AA15" s="141">
        <v>0.625</v>
      </c>
    </row>
    <row r="16" spans="1:27" s="168" customFormat="1" ht="16.2" thickBot="1" x14ac:dyDescent="0.35">
      <c r="A16" s="163" t="s">
        <v>268</v>
      </c>
      <c r="B16" s="164">
        <f>SUM(B6:B15)</f>
        <v>2.5</v>
      </c>
      <c r="C16" s="164">
        <f>SUM(C6:C15)</f>
        <v>3.5</v>
      </c>
      <c r="D16" s="165">
        <f>SUM(D6:D15)</f>
        <v>3.5</v>
      </c>
      <c r="E16" s="166"/>
      <c r="F16" s="164">
        <f t="shared" ref="F16:Z16" si="10">SUM(F6:F15)</f>
        <v>3.5</v>
      </c>
      <c r="G16" s="165">
        <f t="shared" si="10"/>
        <v>4.4000000000000004</v>
      </c>
      <c r="H16" s="165">
        <f t="shared" si="10"/>
        <v>5.4</v>
      </c>
      <c r="I16" s="164">
        <f t="shared" si="10"/>
        <v>3.75</v>
      </c>
      <c r="J16" s="164">
        <f t="shared" si="10"/>
        <v>4.5</v>
      </c>
      <c r="K16" s="164">
        <f t="shared" si="10"/>
        <v>5.6999999999999993</v>
      </c>
      <c r="L16" s="164">
        <f t="shared" si="10"/>
        <v>6.8999999999999995</v>
      </c>
      <c r="M16" s="164">
        <f t="shared" si="10"/>
        <v>8.1000000000000014</v>
      </c>
      <c r="N16" s="164">
        <f t="shared" si="10"/>
        <v>9</v>
      </c>
      <c r="O16" s="164">
        <f t="shared" si="10"/>
        <v>6</v>
      </c>
      <c r="P16" s="164">
        <f t="shared" si="10"/>
        <v>7.6</v>
      </c>
      <c r="Q16" s="164">
        <f t="shared" si="10"/>
        <v>8.8000000000000007</v>
      </c>
      <c r="R16" s="164">
        <f t="shared" si="10"/>
        <v>10</v>
      </c>
      <c r="S16" s="164">
        <f t="shared" si="10"/>
        <v>11.6</v>
      </c>
      <c r="T16" s="164">
        <f t="shared" si="10"/>
        <v>8.5</v>
      </c>
      <c r="U16" s="164">
        <f t="shared" si="10"/>
        <v>9.5</v>
      </c>
      <c r="V16" s="167">
        <f t="shared" si="10"/>
        <v>11</v>
      </c>
      <c r="W16" s="167">
        <f t="shared" si="10"/>
        <v>12.5</v>
      </c>
      <c r="X16" s="167">
        <f t="shared" si="10"/>
        <v>13.5</v>
      </c>
      <c r="Y16" s="164">
        <f t="shared" si="10"/>
        <v>14.5</v>
      </c>
      <c r="Z16" s="165">
        <f t="shared" si="10"/>
        <v>15</v>
      </c>
      <c r="AA16" s="119"/>
    </row>
    <row r="17" spans="1:27" s="168" customFormat="1" ht="16.2" hidden="1" thickBot="1" x14ac:dyDescent="0.35">
      <c r="A17" s="169" t="s">
        <v>268</v>
      </c>
      <c r="B17" s="170">
        <v>2.5</v>
      </c>
      <c r="C17" s="171">
        <v>3.5</v>
      </c>
      <c r="D17" s="172">
        <v>3.5</v>
      </c>
      <c r="E17" s="173"/>
      <c r="F17" s="170">
        <v>4.5</v>
      </c>
      <c r="G17" s="170"/>
      <c r="H17" s="170"/>
      <c r="I17" s="170"/>
      <c r="J17" s="170"/>
      <c r="K17" s="170"/>
      <c r="L17" s="170"/>
      <c r="M17" s="170"/>
      <c r="N17" s="171">
        <v>5.5</v>
      </c>
      <c r="O17" s="172">
        <v>9.5</v>
      </c>
      <c r="P17" s="174"/>
      <c r="Q17" s="174"/>
      <c r="R17" s="174"/>
      <c r="S17" s="174"/>
      <c r="T17" s="171">
        <v>12.5</v>
      </c>
      <c r="U17" s="172">
        <v>13.5</v>
      </c>
      <c r="V17" s="172">
        <v>13.5</v>
      </c>
      <c r="W17" s="172">
        <v>13.5</v>
      </c>
      <c r="X17" s="174">
        <v>14.5</v>
      </c>
      <c r="Y17" s="174">
        <v>14.5</v>
      </c>
      <c r="Z17" s="171">
        <v>15.5</v>
      </c>
      <c r="AA17" s="119"/>
    </row>
    <row r="18" spans="1:27" x14ac:dyDescent="0.3">
      <c r="B18" s="175" t="s">
        <v>283</v>
      </c>
      <c r="D18" s="176"/>
    </row>
    <row r="19" spans="1:27" x14ac:dyDescent="0.3">
      <c r="B19" s="175" t="s">
        <v>284</v>
      </c>
    </row>
    <row r="20" spans="1:27" x14ac:dyDescent="0.3">
      <c r="B20" s="175" t="s">
        <v>285</v>
      </c>
    </row>
    <row r="21" spans="1:27" x14ac:dyDescent="0.3">
      <c r="B21" s="175" t="s">
        <v>271</v>
      </c>
    </row>
    <row r="22" spans="1:27" x14ac:dyDescent="0.3">
      <c r="B22" s="175" t="s">
        <v>286</v>
      </c>
    </row>
    <row r="23" spans="1:27" ht="50.25" customHeight="1" x14ac:dyDescent="0.3">
      <c r="B23" s="175"/>
    </row>
    <row r="24" spans="1:27" s="177" customFormat="1" ht="50.25" customHeight="1" x14ac:dyDescent="0.3">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c r="AA24" s="119"/>
    </row>
    <row r="25" spans="1:27" ht="21.6" thickBot="1" x14ac:dyDescent="0.45">
      <c r="A25" s="117" t="s">
        <v>256</v>
      </c>
    </row>
    <row r="26" spans="1:27" ht="16.2" thickBot="1" x14ac:dyDescent="0.35">
      <c r="B26" s="396" t="s">
        <v>257</v>
      </c>
      <c r="C26" s="397"/>
      <c r="D26" s="398"/>
      <c r="F26" s="396" t="s">
        <v>257</v>
      </c>
      <c r="G26" s="397"/>
      <c r="H26" s="398"/>
      <c r="I26" s="396" t="s">
        <v>258</v>
      </c>
      <c r="J26" s="397"/>
      <c r="K26" s="397"/>
      <c r="L26" s="397"/>
      <c r="M26" s="397"/>
      <c r="N26" s="398"/>
      <c r="O26" s="396" t="s">
        <v>259</v>
      </c>
      <c r="P26" s="397"/>
      <c r="Q26" s="397"/>
      <c r="R26" s="397"/>
      <c r="S26" s="397"/>
      <c r="T26" s="396" t="s">
        <v>260</v>
      </c>
      <c r="U26" s="397"/>
      <c r="V26" s="397"/>
      <c r="W26" s="397"/>
      <c r="X26" s="397"/>
      <c r="Y26" s="397"/>
      <c r="Z26" s="398"/>
    </row>
    <row r="27" spans="1:27" ht="16.2" thickBot="1" x14ac:dyDescent="0.35">
      <c r="A27" s="120" t="s">
        <v>261</v>
      </c>
      <c r="B27" s="121">
        <v>1</v>
      </c>
      <c r="C27" s="122">
        <v>2</v>
      </c>
      <c r="D27" s="121">
        <v>3</v>
      </c>
      <c r="E27" s="122"/>
      <c r="F27" s="123">
        <v>4</v>
      </c>
      <c r="G27" s="123">
        <v>5</v>
      </c>
      <c r="H27" s="123">
        <v>6</v>
      </c>
      <c r="I27" s="123">
        <f>+H27+1</f>
        <v>7</v>
      </c>
      <c r="J27" s="123">
        <f t="shared" ref="J27:Z27" si="11">+I27+1</f>
        <v>8</v>
      </c>
      <c r="K27" s="123">
        <f t="shared" si="11"/>
        <v>9</v>
      </c>
      <c r="L27" s="123">
        <f t="shared" si="11"/>
        <v>10</v>
      </c>
      <c r="M27" s="123">
        <f t="shared" si="11"/>
        <v>11</v>
      </c>
      <c r="N27" s="121">
        <f t="shared" si="11"/>
        <v>12</v>
      </c>
      <c r="O27" s="121">
        <f t="shared" si="11"/>
        <v>13</v>
      </c>
      <c r="P27" s="121">
        <f t="shared" si="11"/>
        <v>14</v>
      </c>
      <c r="Q27" s="121">
        <f t="shared" si="11"/>
        <v>15</v>
      </c>
      <c r="R27" s="121">
        <f t="shared" si="11"/>
        <v>16</v>
      </c>
      <c r="S27" s="121">
        <f t="shared" si="11"/>
        <v>17</v>
      </c>
      <c r="T27" s="121">
        <f t="shared" si="11"/>
        <v>18</v>
      </c>
      <c r="U27" s="121">
        <f t="shared" si="11"/>
        <v>19</v>
      </c>
      <c r="V27" s="121">
        <f t="shared" si="11"/>
        <v>20</v>
      </c>
      <c r="W27" s="121">
        <f t="shared" si="11"/>
        <v>21</v>
      </c>
      <c r="X27" s="121">
        <f t="shared" si="11"/>
        <v>22</v>
      </c>
      <c r="Y27" s="121">
        <f t="shared" si="11"/>
        <v>23</v>
      </c>
      <c r="Z27" s="121">
        <f t="shared" si="11"/>
        <v>24</v>
      </c>
    </row>
    <row r="28" spans="1:27" ht="16.2" thickBot="1" x14ac:dyDescent="0.35">
      <c r="A28" s="124"/>
      <c r="B28" s="125" t="s">
        <v>262</v>
      </c>
      <c r="C28" s="125" t="s">
        <v>262</v>
      </c>
      <c r="D28" s="125" t="s">
        <v>262</v>
      </c>
      <c r="E28" s="123"/>
      <c r="F28" s="393" t="s">
        <v>281</v>
      </c>
      <c r="G28" s="394"/>
      <c r="H28" s="394"/>
      <c r="I28" s="394"/>
      <c r="J28" s="394"/>
      <c r="K28" s="394"/>
      <c r="L28" s="394"/>
      <c r="M28" s="394"/>
      <c r="N28" s="394"/>
      <c r="O28" s="394"/>
      <c r="P28" s="394"/>
      <c r="Q28" s="394"/>
      <c r="R28" s="394"/>
      <c r="S28" s="394"/>
      <c r="T28" s="394"/>
      <c r="U28" s="394"/>
      <c r="V28" s="394"/>
      <c r="W28" s="394"/>
      <c r="X28" s="394"/>
      <c r="Y28" s="394"/>
      <c r="Z28" s="395"/>
    </row>
    <row r="29" spans="1:27" s="134" customFormat="1" ht="18.600000000000001" thickBot="1" x14ac:dyDescent="0.4">
      <c r="A29" s="126" t="s">
        <v>282</v>
      </c>
      <c r="B29" s="127">
        <v>9</v>
      </c>
      <c r="C29" s="128">
        <v>13</v>
      </c>
      <c r="D29" s="129">
        <v>13</v>
      </c>
      <c r="E29" s="130"/>
      <c r="F29" s="128">
        <v>13</v>
      </c>
      <c r="G29" s="131">
        <v>15</v>
      </c>
      <c r="H29" s="131">
        <v>18</v>
      </c>
      <c r="I29" s="131">
        <v>9</v>
      </c>
      <c r="J29" s="131">
        <v>11</v>
      </c>
      <c r="K29" s="131">
        <v>13</v>
      </c>
      <c r="L29" s="131">
        <v>16</v>
      </c>
      <c r="M29" s="131">
        <v>18</v>
      </c>
      <c r="N29" s="131">
        <v>20</v>
      </c>
      <c r="O29" s="128">
        <v>11</v>
      </c>
      <c r="P29" s="128">
        <v>13</v>
      </c>
      <c r="Q29" s="128">
        <v>15</v>
      </c>
      <c r="R29" s="128">
        <v>17</v>
      </c>
      <c r="S29" s="128">
        <v>19</v>
      </c>
      <c r="T29" s="132">
        <v>12</v>
      </c>
      <c r="U29" s="132">
        <v>13</v>
      </c>
      <c r="V29" s="132">
        <v>15</v>
      </c>
      <c r="W29" s="132">
        <v>17</v>
      </c>
      <c r="X29" s="132">
        <v>18</v>
      </c>
      <c r="Y29" s="132">
        <v>19</v>
      </c>
      <c r="Z29" s="132">
        <v>20</v>
      </c>
      <c r="AA29" s="133"/>
    </row>
    <row r="30" spans="1:27" ht="16.2" thickBot="1" x14ac:dyDescent="0.35">
      <c r="A30" s="135" t="s">
        <v>265</v>
      </c>
      <c r="B30" s="136">
        <f>+B6</f>
        <v>1.25</v>
      </c>
      <c r="C30" s="136">
        <f t="shared" ref="C30:Z30" si="12">+C6</f>
        <v>1.75</v>
      </c>
      <c r="D30" s="136">
        <f t="shared" si="12"/>
        <v>1.75</v>
      </c>
      <c r="E30" s="137"/>
      <c r="F30" s="138">
        <f t="shared" si="12"/>
        <v>1.75</v>
      </c>
      <c r="G30" s="136">
        <f t="shared" si="12"/>
        <v>2.2000000000000002</v>
      </c>
      <c r="H30" s="136">
        <f t="shared" si="12"/>
        <v>2.7</v>
      </c>
      <c r="I30" s="136">
        <f t="shared" si="12"/>
        <v>1.25</v>
      </c>
      <c r="J30" s="136">
        <f t="shared" si="12"/>
        <v>1.5</v>
      </c>
      <c r="K30" s="137">
        <f t="shared" si="12"/>
        <v>1.9</v>
      </c>
      <c r="L30" s="136">
        <f t="shared" si="12"/>
        <v>2.2999999999999998</v>
      </c>
      <c r="M30" s="136">
        <f t="shared" si="12"/>
        <v>2.7</v>
      </c>
      <c r="N30" s="136">
        <f t="shared" si="12"/>
        <v>3</v>
      </c>
      <c r="O30" s="139">
        <f t="shared" si="12"/>
        <v>1.5</v>
      </c>
      <c r="P30" s="139">
        <f t="shared" si="12"/>
        <v>1.9</v>
      </c>
      <c r="Q30" s="139">
        <f t="shared" si="12"/>
        <v>2.2000000000000002</v>
      </c>
      <c r="R30" s="139">
        <f t="shared" si="12"/>
        <v>2.5</v>
      </c>
      <c r="S30" s="139">
        <f t="shared" si="12"/>
        <v>2.9</v>
      </c>
      <c r="T30" s="136">
        <f t="shared" si="12"/>
        <v>1.7</v>
      </c>
      <c r="U30" s="139">
        <f t="shared" si="12"/>
        <v>1.9</v>
      </c>
      <c r="V30" s="139">
        <f t="shared" si="12"/>
        <v>2.2000000000000002</v>
      </c>
      <c r="W30" s="139">
        <f t="shared" si="12"/>
        <v>2.5</v>
      </c>
      <c r="X30" s="139">
        <f t="shared" si="12"/>
        <v>2.7</v>
      </c>
      <c r="Y30" s="140">
        <f t="shared" si="12"/>
        <v>2.9</v>
      </c>
      <c r="Z30" s="137">
        <f t="shared" si="12"/>
        <v>3</v>
      </c>
      <c r="AA30" s="141">
        <v>0.25</v>
      </c>
    </row>
    <row r="31" spans="1:27" ht="16.2" thickBot="1" x14ac:dyDescent="0.35">
      <c r="A31" s="120" t="s">
        <v>266</v>
      </c>
      <c r="B31" s="142"/>
      <c r="C31" s="143"/>
      <c r="D31" s="144"/>
      <c r="E31" s="145"/>
      <c r="F31" s="144"/>
      <c r="G31" s="146"/>
      <c r="H31" s="146"/>
      <c r="I31" s="146"/>
      <c r="J31" s="146"/>
      <c r="K31" s="146"/>
      <c r="L31" s="146"/>
      <c r="M31" s="146"/>
      <c r="N31" s="146"/>
      <c r="O31" s="147"/>
      <c r="P31" s="147"/>
      <c r="Q31" s="147"/>
      <c r="R31" s="147"/>
      <c r="S31" s="147"/>
      <c r="T31" s="148"/>
      <c r="U31" s="147"/>
      <c r="V31" s="147"/>
      <c r="W31" s="147"/>
      <c r="X31" s="147"/>
      <c r="Y31" s="149"/>
      <c r="Z31" s="143"/>
    </row>
    <row r="32" spans="1:27" ht="16.2" thickBot="1" x14ac:dyDescent="0.35">
      <c r="A32" s="150"/>
      <c r="B32" s="151"/>
      <c r="C32" s="148"/>
      <c r="D32" s="144"/>
      <c r="E32" s="152"/>
      <c r="F32" s="144"/>
      <c r="G32" s="148"/>
      <c r="H32" s="148"/>
      <c r="I32" s="148"/>
      <c r="J32" s="148"/>
      <c r="K32" s="148"/>
      <c r="L32" s="148"/>
      <c r="M32" s="148"/>
      <c r="N32" s="148"/>
      <c r="O32" s="137">
        <f t="shared" ref="O32:Z32" si="13">+O30</f>
        <v>1.5</v>
      </c>
      <c r="P32" s="137">
        <f t="shared" si="13"/>
        <v>1.9</v>
      </c>
      <c r="Q32" s="137">
        <f t="shared" si="13"/>
        <v>2.2000000000000002</v>
      </c>
      <c r="R32" s="137">
        <f t="shared" si="13"/>
        <v>2.5</v>
      </c>
      <c r="S32" s="137">
        <f t="shared" si="13"/>
        <v>2.9</v>
      </c>
      <c r="T32" s="137">
        <f t="shared" si="13"/>
        <v>1.7</v>
      </c>
      <c r="U32" s="153">
        <f t="shared" si="13"/>
        <v>1.9</v>
      </c>
      <c r="V32" s="153">
        <f t="shared" si="13"/>
        <v>2.2000000000000002</v>
      </c>
      <c r="W32" s="153">
        <f t="shared" si="13"/>
        <v>2.5</v>
      </c>
      <c r="X32" s="153">
        <f t="shared" si="13"/>
        <v>2.7</v>
      </c>
      <c r="Y32" s="154">
        <f t="shared" si="13"/>
        <v>2.9</v>
      </c>
      <c r="Z32" s="137">
        <f t="shared" si="13"/>
        <v>3</v>
      </c>
      <c r="AA32" s="141">
        <v>0.27083333333333331</v>
      </c>
    </row>
    <row r="33" spans="1:27" ht="16.2" thickBot="1" x14ac:dyDescent="0.35">
      <c r="A33" s="150"/>
      <c r="B33" s="155"/>
      <c r="C33" s="146"/>
      <c r="D33" s="156"/>
      <c r="E33" s="152"/>
      <c r="F33" s="156"/>
      <c r="G33" s="146"/>
      <c r="H33" s="146"/>
      <c r="I33" s="148"/>
      <c r="J33" s="148"/>
      <c r="K33" s="148"/>
      <c r="L33" s="148"/>
      <c r="M33" s="148"/>
      <c r="N33" s="148"/>
      <c r="O33" s="148"/>
      <c r="P33" s="148"/>
      <c r="Q33" s="148"/>
      <c r="R33" s="148"/>
      <c r="S33" s="148"/>
      <c r="T33" s="148"/>
      <c r="U33" s="157"/>
      <c r="V33" s="157"/>
      <c r="W33" s="157"/>
      <c r="X33" s="157"/>
      <c r="Y33" s="144"/>
      <c r="Z33" s="148"/>
    </row>
    <row r="34" spans="1:27" ht="16.2" thickBot="1" x14ac:dyDescent="0.35">
      <c r="A34" s="150"/>
      <c r="B34" s="155"/>
      <c r="C34" s="146"/>
      <c r="D34" s="144"/>
      <c r="E34" s="152"/>
      <c r="F34" s="144"/>
      <c r="G34" s="148"/>
      <c r="H34" s="148"/>
      <c r="I34" s="158">
        <f t="shared" ref="I34:M34" si="14">+I30</f>
        <v>1.25</v>
      </c>
      <c r="J34" s="158">
        <f t="shared" si="14"/>
        <v>1.5</v>
      </c>
      <c r="K34" s="158">
        <f t="shared" si="14"/>
        <v>1.9</v>
      </c>
      <c r="L34" s="158">
        <f t="shared" si="14"/>
        <v>2.2999999999999998</v>
      </c>
      <c r="M34" s="158">
        <f t="shared" si="14"/>
        <v>2.7</v>
      </c>
      <c r="N34" s="158">
        <f>+N30</f>
        <v>3</v>
      </c>
      <c r="O34" s="148"/>
      <c r="P34" s="148"/>
      <c r="Q34" s="148"/>
      <c r="R34" s="148"/>
      <c r="S34" s="148"/>
      <c r="T34" s="148"/>
      <c r="U34" s="157"/>
      <c r="V34" s="157"/>
      <c r="W34" s="157"/>
      <c r="X34" s="157"/>
      <c r="Y34" s="144"/>
      <c r="Z34" s="148"/>
      <c r="AA34" s="141">
        <v>0.33333333333333331</v>
      </c>
    </row>
    <row r="35" spans="1:27" ht="16.2" thickBot="1" x14ac:dyDescent="0.35">
      <c r="A35" s="150"/>
      <c r="B35" s="155"/>
      <c r="C35" s="146"/>
      <c r="D35" s="156"/>
      <c r="E35" s="152"/>
      <c r="F35" s="156"/>
      <c r="G35" s="146"/>
      <c r="H35" s="146"/>
      <c r="I35" s="143"/>
      <c r="J35" s="143"/>
      <c r="K35" s="143"/>
      <c r="L35" s="143"/>
      <c r="M35" s="143"/>
      <c r="N35" s="143"/>
      <c r="O35" s="153">
        <f t="shared" ref="O35:Z35" si="15">+O32</f>
        <v>1.5</v>
      </c>
      <c r="P35" s="153">
        <f t="shared" si="15"/>
        <v>1.9</v>
      </c>
      <c r="Q35" s="153">
        <f t="shared" si="15"/>
        <v>2.2000000000000002</v>
      </c>
      <c r="R35" s="153">
        <f t="shared" si="15"/>
        <v>2.5</v>
      </c>
      <c r="S35" s="153">
        <f t="shared" si="15"/>
        <v>2.9</v>
      </c>
      <c r="T35" s="137">
        <f t="shared" si="15"/>
        <v>1.7</v>
      </c>
      <c r="U35" s="153">
        <f t="shared" si="15"/>
        <v>1.9</v>
      </c>
      <c r="V35" s="153">
        <f t="shared" si="15"/>
        <v>2.2000000000000002</v>
      </c>
      <c r="W35" s="153">
        <f t="shared" si="15"/>
        <v>2.5</v>
      </c>
      <c r="X35" s="153">
        <f t="shared" si="15"/>
        <v>2.7</v>
      </c>
      <c r="Y35" s="154">
        <f t="shared" si="15"/>
        <v>2.9</v>
      </c>
      <c r="Z35" s="137">
        <f t="shared" si="15"/>
        <v>3</v>
      </c>
      <c r="AA35" s="141">
        <v>0.375</v>
      </c>
    </row>
    <row r="36" spans="1:27" ht="16.2" thickBot="1" x14ac:dyDescent="0.35">
      <c r="A36" s="159"/>
      <c r="B36" s="160"/>
      <c r="C36" s="152"/>
      <c r="E36" s="152"/>
      <c r="G36" s="152"/>
      <c r="H36" s="152"/>
      <c r="I36" s="161"/>
      <c r="J36" s="161"/>
      <c r="K36" s="161"/>
      <c r="L36" s="161"/>
      <c r="M36" s="161"/>
      <c r="N36" s="161"/>
      <c r="O36" s="148"/>
      <c r="P36" s="148"/>
      <c r="Q36" s="148"/>
      <c r="R36" s="148"/>
      <c r="S36" s="148"/>
      <c r="T36" s="148"/>
      <c r="U36" s="148"/>
      <c r="V36" s="148"/>
      <c r="W36" s="148"/>
      <c r="X36" s="148"/>
      <c r="Y36" s="148"/>
      <c r="Z36" s="148"/>
    </row>
    <row r="37" spans="1:27" ht="16.2" thickBot="1" x14ac:dyDescent="0.35">
      <c r="A37" s="135" t="s">
        <v>267</v>
      </c>
      <c r="B37" s="139">
        <f>+B30</f>
        <v>1.25</v>
      </c>
      <c r="C37" s="153">
        <f t="shared" ref="C37:D37" si="16">+C30</f>
        <v>1.75</v>
      </c>
      <c r="D37" s="153">
        <f t="shared" si="16"/>
        <v>1.75</v>
      </c>
      <c r="E37" s="152"/>
      <c r="F37" s="154">
        <f t="shared" ref="F37" si="17">+F30</f>
        <v>1.75</v>
      </c>
      <c r="G37" s="136">
        <f>+G30</f>
        <v>2.2000000000000002</v>
      </c>
      <c r="H37" s="136">
        <f>+H30</f>
        <v>2.7</v>
      </c>
      <c r="I37" s="137">
        <f t="shared" ref="I37:M37" si="18">+I34</f>
        <v>1.25</v>
      </c>
      <c r="J37" s="137">
        <f t="shared" si="18"/>
        <v>1.5</v>
      </c>
      <c r="K37" s="137">
        <f t="shared" si="18"/>
        <v>1.9</v>
      </c>
      <c r="L37" s="137">
        <f t="shared" si="18"/>
        <v>2.2999999999999998</v>
      </c>
      <c r="M37" s="137">
        <f t="shared" si="18"/>
        <v>2.7</v>
      </c>
      <c r="N37" s="137">
        <f>+N34</f>
        <v>3</v>
      </c>
      <c r="O37" s="148"/>
      <c r="P37" s="148"/>
      <c r="Q37" s="148"/>
      <c r="R37" s="148"/>
      <c r="S37" s="148"/>
      <c r="T37" s="137">
        <f t="shared" ref="T37:Z37" si="19">+T35</f>
        <v>1.7</v>
      </c>
      <c r="U37" s="153">
        <f t="shared" si="19"/>
        <v>1.9</v>
      </c>
      <c r="V37" s="153">
        <f t="shared" si="19"/>
        <v>2.2000000000000002</v>
      </c>
      <c r="W37" s="153">
        <f t="shared" si="19"/>
        <v>2.5</v>
      </c>
      <c r="X37" s="153">
        <f t="shared" si="19"/>
        <v>2.7</v>
      </c>
      <c r="Y37" s="154">
        <f t="shared" si="19"/>
        <v>2.9</v>
      </c>
      <c r="Z37" s="137">
        <f t="shared" si="19"/>
        <v>3</v>
      </c>
      <c r="AA37" s="141">
        <v>0.58333333333333337</v>
      </c>
    </row>
    <row r="38" spans="1:27" ht="16.2" thickBot="1" x14ac:dyDescent="0.35">
      <c r="A38" s="162"/>
      <c r="B38" s="142"/>
      <c r="C38" s="143"/>
      <c r="D38" s="149"/>
      <c r="E38" s="152"/>
      <c r="F38" s="149"/>
      <c r="G38" s="146"/>
      <c r="H38" s="146"/>
      <c r="I38" s="148"/>
      <c r="J38" s="148"/>
      <c r="K38" s="148"/>
      <c r="L38" s="148"/>
      <c r="M38" s="148"/>
      <c r="N38" s="148"/>
      <c r="O38" s="148"/>
      <c r="P38" s="148"/>
      <c r="Q38" s="148"/>
      <c r="R38" s="148"/>
      <c r="S38" s="148"/>
      <c r="T38" s="148"/>
      <c r="U38" s="148"/>
      <c r="V38" s="148"/>
      <c r="W38" s="148"/>
      <c r="X38" s="148"/>
      <c r="Y38" s="148"/>
      <c r="Z38" s="148"/>
    </row>
    <row r="39" spans="1:27" ht="16.2" thickBot="1" x14ac:dyDescent="0.35">
      <c r="A39" s="162"/>
      <c r="B39" s="155"/>
      <c r="C39" s="146"/>
      <c r="D39" s="156"/>
      <c r="E39" s="152"/>
      <c r="F39" s="156"/>
      <c r="G39" s="146"/>
      <c r="H39" s="146"/>
      <c r="I39" s="148"/>
      <c r="J39" s="148"/>
      <c r="K39" s="148"/>
      <c r="L39" s="148"/>
      <c r="M39" s="148"/>
      <c r="N39" s="148"/>
      <c r="O39" s="153">
        <f>+O35</f>
        <v>1.5</v>
      </c>
      <c r="P39" s="153">
        <f t="shared" ref="P39:S39" si="20">+P35</f>
        <v>1.9</v>
      </c>
      <c r="Q39" s="153">
        <f t="shared" si="20"/>
        <v>2.2000000000000002</v>
      </c>
      <c r="R39" s="153">
        <f t="shared" si="20"/>
        <v>2.5</v>
      </c>
      <c r="S39" s="153">
        <f t="shared" si="20"/>
        <v>2.9</v>
      </c>
      <c r="T39" s="137">
        <f t="shared" ref="T39:Z39" si="21">+T37</f>
        <v>1.7</v>
      </c>
      <c r="U39" s="153">
        <f t="shared" si="21"/>
        <v>1.9</v>
      </c>
      <c r="V39" s="153">
        <f t="shared" si="21"/>
        <v>2.2000000000000002</v>
      </c>
      <c r="W39" s="153">
        <f t="shared" si="21"/>
        <v>2.5</v>
      </c>
      <c r="X39" s="153">
        <f t="shared" si="21"/>
        <v>2.7</v>
      </c>
      <c r="Y39" s="154">
        <f t="shared" si="21"/>
        <v>2.9</v>
      </c>
      <c r="Z39" s="137">
        <f t="shared" si="21"/>
        <v>3</v>
      </c>
      <c r="AA39" s="141">
        <v>0.625</v>
      </c>
    </row>
    <row r="40" spans="1:27" s="168" customFormat="1" ht="16.2" thickBot="1" x14ac:dyDescent="0.35">
      <c r="A40" s="163" t="s">
        <v>268</v>
      </c>
      <c r="B40" s="164">
        <f>SUM(B30:B39)</f>
        <v>2.5</v>
      </c>
      <c r="C40" s="164">
        <f>SUM(C30:C39)</f>
        <v>3.5</v>
      </c>
      <c r="D40" s="165">
        <f>SUM(D30:D39)</f>
        <v>3.5</v>
      </c>
      <c r="E40" s="166"/>
      <c r="F40" s="164">
        <f t="shared" ref="F40:Z40" si="22">SUM(F30:F39)</f>
        <v>3.5</v>
      </c>
      <c r="G40" s="165">
        <f t="shared" si="22"/>
        <v>4.4000000000000004</v>
      </c>
      <c r="H40" s="165">
        <f t="shared" si="22"/>
        <v>5.4</v>
      </c>
      <c r="I40" s="164">
        <f t="shared" si="22"/>
        <v>3.75</v>
      </c>
      <c r="J40" s="164">
        <f t="shared" si="22"/>
        <v>4.5</v>
      </c>
      <c r="K40" s="164">
        <f t="shared" si="22"/>
        <v>5.6999999999999993</v>
      </c>
      <c r="L40" s="164">
        <f t="shared" si="22"/>
        <v>6.8999999999999995</v>
      </c>
      <c r="M40" s="164">
        <f t="shared" si="22"/>
        <v>8.1000000000000014</v>
      </c>
      <c r="N40" s="164">
        <f t="shared" si="22"/>
        <v>9</v>
      </c>
      <c r="O40" s="164">
        <f t="shared" si="22"/>
        <v>6</v>
      </c>
      <c r="P40" s="164">
        <f t="shared" si="22"/>
        <v>7.6</v>
      </c>
      <c r="Q40" s="164">
        <f t="shared" si="22"/>
        <v>8.8000000000000007</v>
      </c>
      <c r="R40" s="164">
        <f t="shared" si="22"/>
        <v>10</v>
      </c>
      <c r="S40" s="164">
        <f t="shared" si="22"/>
        <v>11.6</v>
      </c>
      <c r="T40" s="164">
        <f t="shared" si="22"/>
        <v>8.5</v>
      </c>
      <c r="U40" s="164">
        <f t="shared" si="22"/>
        <v>9.5</v>
      </c>
      <c r="V40" s="167">
        <f t="shared" si="22"/>
        <v>11</v>
      </c>
      <c r="W40" s="167">
        <f t="shared" si="22"/>
        <v>12.5</v>
      </c>
      <c r="X40" s="167">
        <f t="shared" si="22"/>
        <v>13.5</v>
      </c>
      <c r="Y40" s="164">
        <f t="shared" si="22"/>
        <v>14.5</v>
      </c>
      <c r="Z40" s="165">
        <f t="shared" si="22"/>
        <v>15</v>
      </c>
      <c r="AA40" s="119"/>
    </row>
    <row r="41" spans="1:27" s="168" customFormat="1" ht="16.2" hidden="1" thickBot="1" x14ac:dyDescent="0.35">
      <c r="A41" s="169" t="s">
        <v>268</v>
      </c>
      <c r="B41" s="170">
        <v>2.5</v>
      </c>
      <c r="C41" s="171">
        <v>3.5</v>
      </c>
      <c r="D41" s="172">
        <v>3.5</v>
      </c>
      <c r="E41" s="173"/>
      <c r="F41" s="170">
        <v>4.5</v>
      </c>
      <c r="G41" s="170"/>
      <c r="H41" s="170"/>
      <c r="I41" s="170"/>
      <c r="J41" s="170"/>
      <c r="K41" s="170"/>
      <c r="L41" s="170"/>
      <c r="M41" s="170"/>
      <c r="N41" s="171">
        <v>5.5</v>
      </c>
      <c r="O41" s="172">
        <v>9.5</v>
      </c>
      <c r="P41" s="174"/>
      <c r="Q41" s="174"/>
      <c r="R41" s="174"/>
      <c r="S41" s="174"/>
      <c r="T41" s="171">
        <v>12.5</v>
      </c>
      <c r="U41" s="172">
        <v>13.5</v>
      </c>
      <c r="V41" s="172">
        <v>13.5</v>
      </c>
      <c r="W41" s="172">
        <v>13.5</v>
      </c>
      <c r="X41" s="174">
        <v>14.5</v>
      </c>
      <c r="Y41" s="174">
        <v>14.5</v>
      </c>
      <c r="Z41" s="171">
        <v>15.5</v>
      </c>
      <c r="AA41" s="119"/>
    </row>
    <row r="42" spans="1:27" x14ac:dyDescent="0.3">
      <c r="B42" s="175" t="s">
        <v>283</v>
      </c>
      <c r="D42" s="176"/>
    </row>
    <row r="43" spans="1:27" x14ac:dyDescent="0.3">
      <c r="B43" s="175" t="s">
        <v>284</v>
      </c>
    </row>
    <row r="44" spans="1:27" x14ac:dyDescent="0.3">
      <c r="B44" s="175" t="s">
        <v>285</v>
      </c>
    </row>
    <row r="45" spans="1:27" x14ac:dyDescent="0.3">
      <c r="B45" s="175" t="s">
        <v>271</v>
      </c>
    </row>
    <row r="46" spans="1:27" x14ac:dyDescent="0.3">
      <c r="B46" s="175" t="s">
        <v>286</v>
      </c>
    </row>
  </sheetData>
  <mergeCells count="12">
    <mergeCell ref="F28:Z28"/>
    <mergeCell ref="B2:D2"/>
    <mergeCell ref="F2:H2"/>
    <mergeCell ref="I2:N2"/>
    <mergeCell ref="O2:S2"/>
    <mergeCell ref="T2:Z2"/>
    <mergeCell ref="F4:Z4"/>
    <mergeCell ref="B26:D26"/>
    <mergeCell ref="F26:H26"/>
    <mergeCell ref="I26:N26"/>
    <mergeCell ref="O26:S26"/>
    <mergeCell ref="T26:Z26"/>
  </mergeCells>
  <pageMargins left="0.45" right="0.45" top="0.75" bottom="0.25" header="0.3" footer="0.3"/>
  <pageSetup paperSize="9" scale="63"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0F8E7-8CF3-4D24-8A7C-F559929C431B}">
  <sheetPr>
    <pageSetUpPr fitToPage="1"/>
  </sheetPr>
  <dimension ref="B2:P15"/>
  <sheetViews>
    <sheetView zoomScaleNormal="100" workbookViewId="0">
      <selection activeCell="K18" sqref="K18"/>
    </sheetView>
  </sheetViews>
  <sheetFormatPr defaultColWidth="9.109375" defaultRowHeight="14.4" x14ac:dyDescent="0.3"/>
  <cols>
    <col min="1" max="1" width="3.6640625" style="179" customWidth="1"/>
    <col min="2" max="2" width="19.109375" style="188" customWidth="1"/>
    <col min="3" max="4" width="12.88671875" style="188" customWidth="1"/>
    <col min="5" max="5" width="3.33203125" style="179" customWidth="1"/>
    <col min="6" max="6" width="19.109375" style="188" customWidth="1"/>
    <col min="7" max="7" width="11.6640625" style="188" customWidth="1"/>
    <col min="8" max="8" width="12.44140625" style="188" customWidth="1"/>
    <col min="9" max="16384" width="9.109375" style="179"/>
  </cols>
  <sheetData>
    <row r="2" spans="2:16" x14ac:dyDescent="0.3">
      <c r="B2" s="180" t="s">
        <v>289</v>
      </c>
    </row>
    <row r="3" spans="2:16" ht="15" thickBot="1" x14ac:dyDescent="0.35"/>
    <row r="4" spans="2:16" s="180" customFormat="1" ht="15" thickBot="1" x14ac:dyDescent="0.35">
      <c r="B4" s="192" t="s">
        <v>314</v>
      </c>
      <c r="C4" s="189" t="s">
        <v>315</v>
      </c>
      <c r="D4" s="189" t="s">
        <v>316</v>
      </c>
      <c r="F4" s="192" t="s">
        <v>317</v>
      </c>
      <c r="G4" s="189" t="s">
        <v>315</v>
      </c>
      <c r="H4" s="189" t="s">
        <v>316</v>
      </c>
    </row>
    <row r="5" spans="2:16" ht="15" customHeight="1" x14ac:dyDescent="0.3">
      <c r="B5" s="406" t="s">
        <v>334</v>
      </c>
      <c r="C5" s="399" t="s">
        <v>324</v>
      </c>
      <c r="D5" s="399" t="s">
        <v>290</v>
      </c>
      <c r="F5" s="406" t="s">
        <v>333</v>
      </c>
      <c r="G5" s="399" t="s">
        <v>329</v>
      </c>
      <c r="H5" s="399" t="s">
        <v>313</v>
      </c>
    </row>
    <row r="6" spans="2:16" ht="15.75" customHeight="1" thickBot="1" x14ac:dyDescent="0.35">
      <c r="B6" s="407"/>
      <c r="C6" s="400"/>
      <c r="D6" s="400"/>
      <c r="F6" s="407"/>
      <c r="G6" s="400"/>
      <c r="H6" s="400"/>
      <c r="K6" s="186"/>
      <c r="P6" s="186"/>
    </row>
    <row r="7" spans="2:16" x14ac:dyDescent="0.3">
      <c r="B7" s="399" t="s">
        <v>318</v>
      </c>
      <c r="C7" s="190" t="s">
        <v>325</v>
      </c>
      <c r="D7" s="190" t="s">
        <v>291</v>
      </c>
      <c r="F7" s="399" t="s">
        <v>318</v>
      </c>
      <c r="G7" s="190" t="s">
        <v>331</v>
      </c>
      <c r="H7" s="190" t="s">
        <v>292</v>
      </c>
    </row>
    <row r="8" spans="2:16" x14ac:dyDescent="0.3">
      <c r="B8" s="405"/>
      <c r="C8" s="194" t="s">
        <v>326</v>
      </c>
      <c r="D8" s="195" t="s">
        <v>327</v>
      </c>
      <c r="F8" s="405"/>
      <c r="G8" s="190" t="s">
        <v>332</v>
      </c>
      <c r="H8" s="190" t="s">
        <v>290</v>
      </c>
    </row>
    <row r="9" spans="2:16" ht="15" thickBot="1" x14ac:dyDescent="0.35">
      <c r="B9" s="400"/>
      <c r="C9" s="191"/>
      <c r="D9" s="191"/>
      <c r="F9" s="400"/>
      <c r="G9" s="191" t="s">
        <v>330</v>
      </c>
      <c r="H9" s="191" t="s">
        <v>291</v>
      </c>
    </row>
    <row r="10" spans="2:16" x14ac:dyDescent="0.3">
      <c r="B10" s="399" t="s">
        <v>319</v>
      </c>
      <c r="C10" s="403"/>
      <c r="D10" s="193" t="s">
        <v>291</v>
      </c>
      <c r="F10" s="399" t="s">
        <v>319</v>
      </c>
      <c r="G10" s="403"/>
      <c r="H10" s="401" t="s">
        <v>152</v>
      </c>
    </row>
    <row r="11" spans="2:16" ht="15" thickBot="1" x14ac:dyDescent="0.35">
      <c r="B11" s="400"/>
      <c r="C11" s="404"/>
      <c r="D11" s="196" t="s">
        <v>327</v>
      </c>
      <c r="F11" s="400"/>
      <c r="G11" s="404"/>
      <c r="H11" s="402"/>
    </row>
    <row r="12" spans="2:16" x14ac:dyDescent="0.3">
      <c r="B12" s="399" t="s">
        <v>320</v>
      </c>
      <c r="C12" s="399" t="s">
        <v>321</v>
      </c>
      <c r="D12" s="399" t="s">
        <v>292</v>
      </c>
      <c r="E12" s="186"/>
      <c r="F12" s="399" t="s">
        <v>320</v>
      </c>
      <c r="G12" s="399" t="s">
        <v>322</v>
      </c>
      <c r="H12" s="399" t="s">
        <v>292</v>
      </c>
      <c r="J12" s="186"/>
    </row>
    <row r="13" spans="2:16" ht="15" thickBot="1" x14ac:dyDescent="0.35">
      <c r="B13" s="400"/>
      <c r="C13" s="400"/>
      <c r="D13" s="400"/>
      <c r="F13" s="400"/>
      <c r="G13" s="400"/>
      <c r="H13" s="400"/>
    </row>
    <row r="14" spans="2:16" ht="15" customHeight="1" x14ac:dyDescent="0.3">
      <c r="B14" s="399" t="s">
        <v>323</v>
      </c>
      <c r="C14" s="399"/>
      <c r="D14" s="399" t="s">
        <v>292</v>
      </c>
      <c r="F14" s="399" t="s">
        <v>323</v>
      </c>
      <c r="G14" s="399"/>
      <c r="H14" s="399" t="s">
        <v>292</v>
      </c>
    </row>
    <row r="15" spans="2:16" ht="15.75" customHeight="1" thickBot="1" x14ac:dyDescent="0.35">
      <c r="B15" s="400"/>
      <c r="C15" s="400"/>
      <c r="D15" s="400"/>
      <c r="F15" s="400"/>
      <c r="G15" s="400"/>
      <c r="H15" s="400"/>
    </row>
  </sheetData>
  <mergeCells count="25">
    <mergeCell ref="H10:H11"/>
    <mergeCell ref="G10:G11"/>
    <mergeCell ref="G5:G6"/>
    <mergeCell ref="F7:F9"/>
    <mergeCell ref="B5:B6"/>
    <mergeCell ref="C5:C6"/>
    <mergeCell ref="D5:D6"/>
    <mergeCell ref="F5:F6"/>
    <mergeCell ref="H5:H6"/>
    <mergeCell ref="B7:B9"/>
    <mergeCell ref="B10:B11"/>
    <mergeCell ref="C10:C11"/>
    <mergeCell ref="F10:F11"/>
    <mergeCell ref="H14:H15"/>
    <mergeCell ref="B12:B13"/>
    <mergeCell ref="C12:C13"/>
    <mergeCell ref="D12:D13"/>
    <mergeCell ref="F12:F13"/>
    <mergeCell ref="H12:H13"/>
    <mergeCell ref="G12:G13"/>
    <mergeCell ref="G14:G15"/>
    <mergeCell ref="B14:B15"/>
    <mergeCell ref="C14:C15"/>
    <mergeCell ref="D14:D15"/>
    <mergeCell ref="F14:F15"/>
  </mergeCells>
  <pageMargins left="0.45" right="0.45"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F91A-0507-4CE5-BE05-7CCFAFAE3D02}">
  <sheetPr>
    <pageSetUpPr fitToPage="1"/>
  </sheetPr>
  <dimension ref="B2:G23"/>
  <sheetViews>
    <sheetView topLeftCell="A10" zoomScaleNormal="100" workbookViewId="0">
      <selection activeCell="G23" sqref="G23"/>
    </sheetView>
  </sheetViews>
  <sheetFormatPr defaultRowHeight="14.4" x14ac:dyDescent="0.3"/>
  <cols>
    <col min="2" max="2" width="19.109375" customWidth="1"/>
    <col min="3" max="3" width="20.109375" customWidth="1"/>
    <col min="4" max="6" width="12.6640625" customWidth="1"/>
  </cols>
  <sheetData>
    <row r="2" spans="2:7" x14ac:dyDescent="0.3">
      <c r="B2" s="178" t="s">
        <v>306</v>
      </c>
      <c r="C2" s="178"/>
      <c r="D2" s="178"/>
      <c r="E2" s="178"/>
      <c r="F2" s="178"/>
    </row>
    <row r="3" spans="2:7" x14ac:dyDescent="0.3">
      <c r="B3" s="178"/>
      <c r="C3" s="178"/>
      <c r="D3" s="178"/>
      <c r="E3" s="178"/>
      <c r="F3" s="178"/>
    </row>
    <row r="4" spans="2:7" x14ac:dyDescent="0.3">
      <c r="B4" s="410" t="s">
        <v>293</v>
      </c>
      <c r="C4" s="410" t="s">
        <v>294</v>
      </c>
      <c r="D4" s="410" t="s">
        <v>297</v>
      </c>
      <c r="E4" s="410"/>
      <c r="F4" s="410"/>
      <c r="G4" s="409" t="s">
        <v>328</v>
      </c>
    </row>
    <row r="5" spans="2:7" x14ac:dyDescent="0.3">
      <c r="B5" s="410"/>
      <c r="C5" s="410"/>
      <c r="D5" s="184" t="s">
        <v>305</v>
      </c>
      <c r="E5" s="182" t="s">
        <v>295</v>
      </c>
      <c r="F5" s="182" t="s">
        <v>296</v>
      </c>
      <c r="G5" s="409"/>
    </row>
    <row r="6" spans="2:7" x14ac:dyDescent="0.3">
      <c r="B6" s="182">
        <v>1</v>
      </c>
      <c r="C6" s="181" t="s">
        <v>298</v>
      </c>
      <c r="D6" s="183">
        <v>2.4</v>
      </c>
      <c r="E6" s="183">
        <v>2.4</v>
      </c>
      <c r="F6" s="183">
        <v>2.4</v>
      </c>
      <c r="G6" s="187">
        <f>SUM(D6:F6)</f>
        <v>7.1999999999999993</v>
      </c>
    </row>
    <row r="7" spans="2:7" x14ac:dyDescent="0.3">
      <c r="B7" s="182">
        <f>+B6+1</f>
        <v>2</v>
      </c>
      <c r="C7" s="181" t="s">
        <v>299</v>
      </c>
      <c r="D7" s="183">
        <v>2.4</v>
      </c>
      <c r="E7" s="183">
        <v>2.4</v>
      </c>
      <c r="F7" s="183">
        <v>2.4</v>
      </c>
      <c r="G7" s="187">
        <f t="shared" ref="G7:G12" si="0">SUM(D7:F7)</f>
        <v>7.1999999999999993</v>
      </c>
    </row>
    <row r="8" spans="2:7" x14ac:dyDescent="0.3">
      <c r="B8" s="182">
        <f t="shared" ref="B8:B12" si="1">+B7+1</f>
        <v>3</v>
      </c>
      <c r="C8" s="181" t="s">
        <v>300</v>
      </c>
      <c r="D8" s="183">
        <v>2</v>
      </c>
      <c r="E8" s="183">
        <v>2</v>
      </c>
      <c r="F8" s="183">
        <v>2</v>
      </c>
      <c r="G8" s="187">
        <f t="shared" si="0"/>
        <v>6</v>
      </c>
    </row>
    <row r="9" spans="2:7" x14ac:dyDescent="0.3">
      <c r="B9" s="182">
        <f t="shared" si="1"/>
        <v>4</v>
      </c>
      <c r="C9" s="181" t="s">
        <v>301</v>
      </c>
      <c r="D9" s="183">
        <v>2</v>
      </c>
      <c r="E9" s="183">
        <v>2</v>
      </c>
      <c r="F9" s="183">
        <v>2</v>
      </c>
      <c r="G9" s="187">
        <f t="shared" si="0"/>
        <v>6</v>
      </c>
    </row>
    <row r="10" spans="2:7" x14ac:dyDescent="0.3">
      <c r="B10" s="182">
        <f t="shared" si="1"/>
        <v>5</v>
      </c>
      <c r="C10" s="181" t="s">
        <v>302</v>
      </c>
      <c r="D10" s="183">
        <v>1.5</v>
      </c>
      <c r="E10" s="183">
        <v>1.5</v>
      </c>
      <c r="F10" s="183">
        <v>1.5</v>
      </c>
      <c r="G10" s="187">
        <f t="shared" si="0"/>
        <v>4.5</v>
      </c>
    </row>
    <row r="11" spans="2:7" x14ac:dyDescent="0.3">
      <c r="B11" s="182">
        <f t="shared" si="1"/>
        <v>6</v>
      </c>
      <c r="C11" s="181" t="s">
        <v>303</v>
      </c>
      <c r="D11" s="183">
        <v>1.3</v>
      </c>
      <c r="E11" s="183">
        <v>1.3</v>
      </c>
      <c r="F11" s="183">
        <v>1.3</v>
      </c>
      <c r="G11" s="187">
        <f t="shared" si="0"/>
        <v>3.9000000000000004</v>
      </c>
    </row>
    <row r="12" spans="2:7" x14ac:dyDescent="0.3">
      <c r="B12" s="182">
        <f t="shared" si="1"/>
        <v>7</v>
      </c>
      <c r="C12" s="181" t="s">
        <v>304</v>
      </c>
      <c r="D12" s="183">
        <v>1</v>
      </c>
      <c r="E12" s="183">
        <v>1</v>
      </c>
      <c r="F12" s="183">
        <v>1</v>
      </c>
      <c r="G12" s="187">
        <f t="shared" si="0"/>
        <v>3</v>
      </c>
    </row>
    <row r="15" spans="2:7" x14ac:dyDescent="0.3">
      <c r="B15" s="178" t="s">
        <v>307</v>
      </c>
    </row>
    <row r="16" spans="2:7" x14ac:dyDescent="0.3">
      <c r="B16" s="178"/>
    </row>
    <row r="17" spans="2:7" x14ac:dyDescent="0.3">
      <c r="B17" s="178" t="s">
        <v>308</v>
      </c>
      <c r="D17" s="410" t="s">
        <v>297</v>
      </c>
      <c r="E17" s="410"/>
      <c r="F17" s="410"/>
    </row>
    <row r="18" spans="2:7" x14ac:dyDescent="0.3">
      <c r="D18" s="184" t="s">
        <v>305</v>
      </c>
      <c r="E18" s="182" t="s">
        <v>309</v>
      </c>
      <c r="F18" s="182" t="s">
        <v>310</v>
      </c>
    </row>
    <row r="19" spans="2:7" x14ac:dyDescent="0.3">
      <c r="B19" s="411" t="s">
        <v>311</v>
      </c>
      <c r="C19" s="411"/>
      <c r="D19" s="183">
        <v>1.5</v>
      </c>
      <c r="E19" s="183">
        <v>1.5</v>
      </c>
      <c r="F19" s="185">
        <f>SUM(D19:E19)</f>
        <v>3</v>
      </c>
    </row>
    <row r="20" spans="2:7" x14ac:dyDescent="0.3">
      <c r="B20" s="178"/>
      <c r="C20" s="178"/>
    </row>
    <row r="21" spans="2:7" x14ac:dyDescent="0.3">
      <c r="B21" s="178"/>
      <c r="C21" s="178"/>
      <c r="D21" s="410" t="s">
        <v>297</v>
      </c>
      <c r="E21" s="410"/>
      <c r="F21" s="410"/>
      <c r="G21" s="409" t="s">
        <v>328</v>
      </c>
    </row>
    <row r="22" spans="2:7" x14ac:dyDescent="0.3">
      <c r="B22" s="178"/>
      <c r="C22" s="178"/>
      <c r="D22" s="184" t="s">
        <v>305</v>
      </c>
      <c r="E22" s="182" t="s">
        <v>295</v>
      </c>
      <c r="F22" s="182" t="s">
        <v>296</v>
      </c>
      <c r="G22" s="409"/>
    </row>
    <row r="23" spans="2:7" x14ac:dyDescent="0.3">
      <c r="B23" s="408" t="s">
        <v>312</v>
      </c>
      <c r="C23" s="408"/>
      <c r="D23" s="183">
        <v>1.5</v>
      </c>
      <c r="E23" s="183">
        <v>1.5</v>
      </c>
      <c r="F23" s="183">
        <v>1.5</v>
      </c>
      <c r="G23" s="187">
        <f>SUM(D23:F23)</f>
        <v>4.5</v>
      </c>
    </row>
  </sheetData>
  <mergeCells count="9">
    <mergeCell ref="B23:C23"/>
    <mergeCell ref="G4:G5"/>
    <mergeCell ref="G21:G22"/>
    <mergeCell ref="D4:F4"/>
    <mergeCell ref="B4:B5"/>
    <mergeCell ref="C4:C5"/>
    <mergeCell ref="D17:F17"/>
    <mergeCell ref="D21:F21"/>
    <mergeCell ref="B19:C19"/>
  </mergeCells>
  <phoneticPr fontId="5" type="noConversion"/>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40E6-3B24-4B6B-BD5E-757F83CCCF0F}">
  <sheetPr>
    <pageSetUpPr fitToPage="1"/>
  </sheetPr>
  <dimension ref="B1:L48"/>
  <sheetViews>
    <sheetView topLeftCell="A31" workbookViewId="0">
      <selection activeCell="B1" sqref="B1:L1"/>
    </sheetView>
  </sheetViews>
  <sheetFormatPr defaultColWidth="9.109375" defaultRowHeight="14.4" x14ac:dyDescent="0.3"/>
  <cols>
    <col min="1" max="1" width="3.33203125" style="179" customWidth="1"/>
    <col min="2" max="2" width="10.6640625" style="179" customWidth="1"/>
    <col min="3" max="3" width="14.109375" style="179" customWidth="1"/>
    <col min="4" max="4" width="11.88671875" style="179" bestFit="1" customWidth="1"/>
    <col min="5" max="5" width="5.6640625" style="179" bestFit="1" customWidth="1"/>
    <col min="6" max="6" width="16" style="179" bestFit="1" customWidth="1"/>
    <col min="7" max="7" width="0.88671875" style="179" customWidth="1"/>
    <col min="8" max="8" width="10.6640625" style="179" customWidth="1"/>
    <col min="9" max="9" width="11.88671875" style="179" customWidth="1"/>
    <col min="10" max="10" width="11.88671875" style="179" bestFit="1" customWidth="1"/>
    <col min="11" max="11" width="4.5546875" style="179" bestFit="1" customWidth="1"/>
    <col min="12" max="12" width="16" style="179" bestFit="1" customWidth="1"/>
    <col min="13" max="13" width="10" style="179" customWidth="1"/>
    <col min="14" max="16384" width="9.109375" style="179"/>
  </cols>
  <sheetData>
    <row r="1" spans="2:12" ht="15.6" x14ac:dyDescent="0.3">
      <c r="B1" s="429" t="s">
        <v>352</v>
      </c>
      <c r="C1" s="429"/>
      <c r="D1" s="429"/>
      <c r="E1" s="429"/>
      <c r="F1" s="429"/>
      <c r="G1" s="429"/>
      <c r="H1" s="429"/>
      <c r="I1" s="429"/>
      <c r="J1" s="429"/>
      <c r="K1" s="429"/>
      <c r="L1" s="429"/>
    </row>
    <row r="2" spans="2:12" ht="15" thickBot="1" x14ac:dyDescent="0.35"/>
    <row r="3" spans="2:12" s="180" customFormat="1" ht="15" thickBot="1" x14ac:dyDescent="0.35">
      <c r="B3" s="198" t="s">
        <v>353</v>
      </c>
      <c r="C3" s="430" t="s">
        <v>354</v>
      </c>
      <c r="D3" s="430"/>
      <c r="E3" s="430"/>
      <c r="F3" s="430"/>
      <c r="H3" s="198" t="s">
        <v>353</v>
      </c>
      <c r="I3" s="430" t="s">
        <v>355</v>
      </c>
      <c r="J3" s="430"/>
      <c r="K3" s="430"/>
      <c r="L3" s="430"/>
    </row>
    <row r="4" spans="2:12" ht="17.25" customHeight="1" thickBot="1" x14ac:dyDescent="0.35">
      <c r="B4" s="199"/>
      <c r="C4" s="415"/>
      <c r="D4" s="415"/>
      <c r="E4" s="415"/>
      <c r="F4" s="415"/>
      <c r="H4" s="199"/>
      <c r="I4" s="415"/>
      <c r="J4" s="415"/>
      <c r="K4" s="415"/>
      <c r="L4" s="415"/>
    </row>
    <row r="5" spans="2:12" ht="17.25" customHeight="1" thickBot="1" x14ac:dyDescent="0.35">
      <c r="B5" s="199"/>
      <c r="C5" s="415"/>
      <c r="D5" s="415"/>
      <c r="E5" s="415"/>
      <c r="F5" s="415"/>
      <c r="H5" s="199"/>
      <c r="I5" s="415"/>
      <c r="J5" s="415"/>
      <c r="K5" s="415"/>
      <c r="L5" s="415"/>
    </row>
    <row r="6" spans="2:12" ht="17.25" customHeight="1" thickBot="1" x14ac:dyDescent="0.35">
      <c r="B6" s="199"/>
      <c r="C6" s="415"/>
      <c r="D6" s="415"/>
      <c r="E6" s="415"/>
      <c r="F6" s="415"/>
      <c r="H6" s="199"/>
      <c r="I6" s="415"/>
      <c r="J6" s="415"/>
      <c r="K6" s="415"/>
      <c r="L6" s="415"/>
    </row>
    <row r="7" spans="2:12" ht="17.25" customHeight="1" thickBot="1" x14ac:dyDescent="0.35">
      <c r="B7" s="199"/>
      <c r="C7" s="415"/>
      <c r="D7" s="415"/>
      <c r="E7" s="415"/>
      <c r="F7" s="415"/>
      <c r="H7" s="199"/>
      <c r="I7" s="415"/>
      <c r="J7" s="415"/>
      <c r="K7" s="415"/>
      <c r="L7" s="415"/>
    </row>
    <row r="8" spans="2:12" ht="17.25" customHeight="1" thickBot="1" x14ac:dyDescent="0.35">
      <c r="B8" s="199"/>
      <c r="C8" s="415"/>
      <c r="D8" s="415"/>
      <c r="E8" s="415"/>
      <c r="F8" s="415"/>
      <c r="H8" s="199"/>
      <c r="I8" s="415"/>
      <c r="J8" s="415"/>
      <c r="K8" s="415"/>
      <c r="L8" s="415"/>
    </row>
    <row r="9" spans="2:12" ht="17.25" customHeight="1" thickBot="1" x14ac:dyDescent="0.35">
      <c r="B9" s="199"/>
      <c r="C9" s="415"/>
      <c r="D9" s="415"/>
      <c r="E9" s="415"/>
      <c r="F9" s="415"/>
      <c r="H9" s="199"/>
      <c r="I9" s="415"/>
      <c r="J9" s="415"/>
      <c r="K9" s="415"/>
      <c r="L9" s="415"/>
    </row>
    <row r="10" spans="2:12" ht="17.25" customHeight="1" thickBot="1" x14ac:dyDescent="0.35">
      <c r="B10" s="199"/>
      <c r="C10" s="415"/>
      <c r="D10" s="415"/>
      <c r="E10" s="415"/>
      <c r="F10" s="415"/>
      <c r="H10" s="199"/>
      <c r="I10" s="415"/>
      <c r="J10" s="415"/>
      <c r="K10" s="415"/>
      <c r="L10" s="415"/>
    </row>
    <row r="11" spans="2:12" ht="17.25" customHeight="1" thickBot="1" x14ac:dyDescent="0.35">
      <c r="B11" s="199"/>
      <c r="C11" s="415"/>
      <c r="D11" s="415"/>
      <c r="E11" s="415"/>
      <c r="F11" s="415"/>
      <c r="H11" s="199"/>
      <c r="I11" s="415"/>
      <c r="J11" s="415"/>
      <c r="K11" s="415"/>
      <c r="L11" s="415"/>
    </row>
    <row r="12" spans="2:12" ht="17.25" customHeight="1" thickBot="1" x14ac:dyDescent="0.35">
      <c r="B12" s="199"/>
      <c r="C12" s="415"/>
      <c r="D12" s="415"/>
      <c r="E12" s="415"/>
      <c r="F12" s="415"/>
      <c r="H12" s="199"/>
      <c r="I12" s="415"/>
      <c r="J12" s="415"/>
      <c r="K12" s="415"/>
      <c r="L12" s="415"/>
    </row>
    <row r="13" spans="2:12" ht="17.25" customHeight="1" thickBot="1" x14ac:dyDescent="0.35">
      <c r="B13" s="199"/>
      <c r="C13" s="415"/>
      <c r="D13" s="415"/>
      <c r="E13" s="415"/>
      <c r="F13" s="415"/>
      <c r="H13" s="199"/>
      <c r="I13" s="415"/>
      <c r="J13" s="415"/>
      <c r="K13" s="415"/>
      <c r="L13" s="415"/>
    </row>
    <row r="14" spans="2:12" ht="17.25" customHeight="1" thickBot="1" x14ac:dyDescent="0.35">
      <c r="B14" s="199"/>
      <c r="C14" s="415"/>
      <c r="D14" s="415"/>
      <c r="E14" s="415"/>
      <c r="F14" s="415"/>
      <c r="H14" s="199"/>
      <c r="I14" s="415"/>
      <c r="J14" s="415"/>
      <c r="K14" s="415"/>
      <c r="L14" s="415"/>
    </row>
    <row r="15" spans="2:12" ht="17.25" customHeight="1" thickBot="1" x14ac:dyDescent="0.35">
      <c r="B15" s="199"/>
      <c r="C15" s="415"/>
      <c r="D15" s="415"/>
      <c r="E15" s="415"/>
      <c r="F15" s="415"/>
      <c r="H15" s="199"/>
      <c r="I15" s="415"/>
      <c r="J15" s="415"/>
      <c r="K15" s="415"/>
      <c r="L15" s="415"/>
    </row>
    <row r="16" spans="2:12" ht="17.25" customHeight="1" thickBot="1" x14ac:dyDescent="0.35">
      <c r="B16" s="199"/>
      <c r="C16" s="415"/>
      <c r="D16" s="415"/>
      <c r="E16" s="415"/>
      <c r="F16" s="415"/>
      <c r="H16" s="199"/>
      <c r="I16" s="415"/>
      <c r="J16" s="415"/>
      <c r="K16" s="415"/>
      <c r="L16" s="415"/>
    </row>
    <row r="17" spans="2:12" ht="17.25" customHeight="1" thickBot="1" x14ac:dyDescent="0.35">
      <c r="B17" s="199"/>
      <c r="C17" s="415"/>
      <c r="D17" s="415"/>
      <c r="E17" s="415"/>
      <c r="F17" s="415"/>
      <c r="H17" s="199"/>
      <c r="I17" s="415"/>
      <c r="J17" s="415"/>
      <c r="K17" s="415"/>
      <c r="L17" s="415"/>
    </row>
    <row r="18" spans="2:12" ht="17.25" customHeight="1" thickBot="1" x14ac:dyDescent="0.35">
      <c r="B18" s="199"/>
      <c r="C18" s="415"/>
      <c r="D18" s="415"/>
      <c r="E18" s="415"/>
      <c r="F18" s="415"/>
      <c r="H18" s="199"/>
      <c r="I18" s="415"/>
      <c r="J18" s="415"/>
      <c r="K18" s="415"/>
      <c r="L18" s="415"/>
    </row>
    <row r="19" spans="2:12" ht="17.25" customHeight="1" thickBot="1" x14ac:dyDescent="0.35">
      <c r="B19" s="199"/>
      <c r="C19" s="415"/>
      <c r="D19" s="415"/>
      <c r="E19" s="415"/>
      <c r="F19" s="415"/>
      <c r="H19" s="199"/>
      <c r="I19" s="415"/>
      <c r="J19" s="415"/>
      <c r="K19" s="415"/>
      <c r="L19" s="415"/>
    </row>
    <row r="20" spans="2:12" ht="17.25" customHeight="1" thickBot="1" x14ac:dyDescent="0.35">
      <c r="B20" s="199"/>
      <c r="C20" s="415"/>
      <c r="D20" s="415"/>
      <c r="E20" s="415"/>
      <c r="F20" s="415"/>
      <c r="H20" s="199"/>
      <c r="I20" s="415"/>
      <c r="J20" s="415"/>
      <c r="K20" s="415"/>
      <c r="L20" s="415"/>
    </row>
    <row r="21" spans="2:12" ht="17.25" customHeight="1" thickBot="1" x14ac:dyDescent="0.35">
      <c r="B21" s="199"/>
      <c r="C21" s="415"/>
      <c r="D21" s="415"/>
      <c r="E21" s="415"/>
      <c r="F21" s="415"/>
      <c r="H21" s="199"/>
      <c r="I21" s="415"/>
      <c r="J21" s="415"/>
      <c r="K21" s="415"/>
      <c r="L21" s="415"/>
    </row>
    <row r="22" spans="2:12" ht="17.25" customHeight="1" thickBot="1" x14ac:dyDescent="0.35">
      <c r="B22" s="199"/>
      <c r="C22" s="415"/>
      <c r="D22" s="415"/>
      <c r="E22" s="415"/>
      <c r="F22" s="415"/>
      <c r="H22" s="199"/>
      <c r="I22" s="415"/>
      <c r="J22" s="415"/>
      <c r="K22" s="415"/>
      <c r="L22" s="415"/>
    </row>
    <row r="23" spans="2:12" ht="17.25" customHeight="1" thickBot="1" x14ac:dyDescent="0.35">
      <c r="B23" s="199"/>
      <c r="C23" s="415"/>
      <c r="D23" s="415"/>
      <c r="E23" s="415"/>
      <c r="F23" s="415"/>
      <c r="H23" s="199"/>
      <c r="I23" s="415"/>
      <c r="J23" s="415"/>
      <c r="K23" s="415"/>
      <c r="L23" s="415"/>
    </row>
    <row r="24" spans="2:12" ht="17.25" customHeight="1" thickBot="1" x14ac:dyDescent="0.35">
      <c r="B24" s="199"/>
      <c r="C24" s="415"/>
      <c r="D24" s="415"/>
      <c r="E24" s="415"/>
      <c r="F24" s="415"/>
      <c r="H24" s="199"/>
      <c r="I24" s="415"/>
      <c r="J24" s="415"/>
      <c r="K24" s="415"/>
      <c r="L24" s="415"/>
    </row>
    <row r="25" spans="2:12" ht="17.25" customHeight="1" thickBot="1" x14ac:dyDescent="0.35">
      <c r="B25" s="199"/>
      <c r="C25" s="415"/>
      <c r="D25" s="415"/>
      <c r="E25" s="415"/>
      <c r="F25" s="415"/>
      <c r="H25" s="199"/>
      <c r="I25" s="415"/>
      <c r="J25" s="415"/>
      <c r="K25" s="415"/>
      <c r="L25" s="415"/>
    </row>
    <row r="26" spans="2:12" ht="17.25" customHeight="1" thickBot="1" x14ac:dyDescent="0.35">
      <c r="B26" s="199"/>
      <c r="C26" s="415"/>
      <c r="D26" s="415"/>
      <c r="E26" s="415"/>
      <c r="F26" s="415"/>
      <c r="H26" s="199"/>
      <c r="I26" s="415"/>
      <c r="J26" s="415"/>
      <c r="K26" s="415"/>
      <c r="L26" s="415"/>
    </row>
    <row r="27" spans="2:12" ht="17.25" customHeight="1" thickBot="1" x14ac:dyDescent="0.35">
      <c r="B27" s="199"/>
      <c r="C27" s="415"/>
      <c r="D27" s="415"/>
      <c r="E27" s="415"/>
      <c r="F27" s="415"/>
      <c r="H27" s="199"/>
      <c r="I27" s="415"/>
      <c r="J27" s="415"/>
      <c r="K27" s="415"/>
      <c r="L27" s="415"/>
    </row>
    <row r="28" spans="2:12" ht="17.25" customHeight="1" thickBot="1" x14ac:dyDescent="0.35">
      <c r="B28" s="199"/>
      <c r="C28" s="415"/>
      <c r="D28" s="415"/>
      <c r="E28" s="415"/>
      <c r="F28" s="415"/>
      <c r="H28" s="199"/>
      <c r="I28" s="415"/>
      <c r="J28" s="415"/>
      <c r="K28" s="415"/>
      <c r="L28" s="415"/>
    </row>
    <row r="29" spans="2:12" ht="17.25" customHeight="1" thickBot="1" x14ac:dyDescent="0.35">
      <c r="B29" s="199"/>
      <c r="C29" s="415"/>
      <c r="D29" s="415"/>
      <c r="E29" s="415"/>
      <c r="F29" s="415"/>
      <c r="H29" s="199"/>
      <c r="I29" s="415"/>
      <c r="J29" s="415"/>
      <c r="K29" s="415"/>
      <c r="L29" s="415"/>
    </row>
    <row r="30" spans="2:12" ht="17.25" customHeight="1" thickBot="1" x14ac:dyDescent="0.35">
      <c r="B30" s="199"/>
      <c r="C30" s="415"/>
      <c r="D30" s="415"/>
      <c r="E30" s="415"/>
      <c r="F30" s="415"/>
      <c r="H30" s="199"/>
      <c r="I30" s="415"/>
      <c r="J30" s="415"/>
      <c r="K30" s="415"/>
      <c r="L30" s="415"/>
    </row>
    <row r="31" spans="2:12" ht="17.25" customHeight="1" thickBot="1" x14ac:dyDescent="0.35">
      <c r="B31" s="199"/>
      <c r="C31" s="415"/>
      <c r="D31" s="415"/>
      <c r="E31" s="415"/>
      <c r="F31" s="415"/>
      <c r="H31" s="199"/>
      <c r="I31" s="415"/>
      <c r="J31" s="415"/>
      <c r="K31" s="415"/>
      <c r="L31" s="415"/>
    </row>
    <row r="32" spans="2:12" ht="17.25" customHeight="1" thickBot="1" x14ac:dyDescent="0.35">
      <c r="B32" s="199"/>
      <c r="C32" s="415"/>
      <c r="D32" s="415"/>
      <c r="E32" s="415"/>
      <c r="F32" s="415"/>
      <c r="H32" s="199"/>
      <c r="I32" s="415"/>
      <c r="J32" s="415"/>
      <c r="K32" s="415"/>
      <c r="L32" s="415"/>
    </row>
    <row r="33" spans="2:12" ht="17.25" customHeight="1" thickBot="1" x14ac:dyDescent="0.35">
      <c r="B33" s="199"/>
      <c r="C33" s="415"/>
      <c r="D33" s="415"/>
      <c r="E33" s="415"/>
      <c r="F33" s="415"/>
      <c r="H33" s="199"/>
      <c r="I33" s="415"/>
      <c r="J33" s="415"/>
      <c r="K33" s="415"/>
      <c r="L33" s="415"/>
    </row>
    <row r="34" spans="2:12" ht="17.25" customHeight="1" thickBot="1" x14ac:dyDescent="0.35">
      <c r="B34" s="199"/>
      <c r="C34" s="415"/>
      <c r="D34" s="415"/>
      <c r="E34" s="415"/>
      <c r="F34" s="415"/>
      <c r="H34" s="199"/>
      <c r="I34" s="415"/>
      <c r="J34" s="415"/>
      <c r="K34" s="415"/>
      <c r="L34" s="415"/>
    </row>
    <row r="35" spans="2:12" ht="15" thickBot="1" x14ac:dyDescent="0.3">
      <c r="B35" s="200" t="s">
        <v>356</v>
      </c>
      <c r="C35" s="201"/>
      <c r="D35" s="201"/>
      <c r="E35" s="201"/>
      <c r="F35" s="201"/>
      <c r="H35" s="202" t="s">
        <v>357</v>
      </c>
      <c r="I35" s="203"/>
      <c r="J35" s="203"/>
      <c r="K35" s="203"/>
      <c r="L35" s="203"/>
    </row>
    <row r="36" spans="2:12" x14ac:dyDescent="0.25">
      <c r="B36" s="204" t="s">
        <v>218</v>
      </c>
      <c r="C36" s="205" t="s">
        <v>358</v>
      </c>
      <c r="D36" s="205" t="s">
        <v>219</v>
      </c>
      <c r="E36" s="205" t="s">
        <v>359</v>
      </c>
      <c r="F36" s="206" t="s">
        <v>223</v>
      </c>
      <c r="H36" s="207" t="s">
        <v>218</v>
      </c>
      <c r="I36" s="208" t="s">
        <v>358</v>
      </c>
      <c r="J36" s="209" t="s">
        <v>219</v>
      </c>
      <c r="K36" s="208" t="s">
        <v>359</v>
      </c>
      <c r="L36" s="210" t="s">
        <v>223</v>
      </c>
    </row>
    <row r="37" spans="2:12" x14ac:dyDescent="0.25">
      <c r="B37" s="211" t="s">
        <v>360</v>
      </c>
      <c r="C37" s="212" t="s">
        <v>361</v>
      </c>
      <c r="D37" s="213" t="s">
        <v>362</v>
      </c>
      <c r="E37" s="213" t="s">
        <v>363</v>
      </c>
      <c r="F37" s="214" t="s">
        <v>364</v>
      </c>
      <c r="H37" s="215" t="s">
        <v>365</v>
      </c>
      <c r="I37" s="216" t="s">
        <v>366</v>
      </c>
      <c r="J37" s="217" t="s">
        <v>367</v>
      </c>
      <c r="K37" s="216" t="s">
        <v>368</v>
      </c>
      <c r="L37" s="218" t="s">
        <v>236</v>
      </c>
    </row>
    <row r="38" spans="2:12" x14ac:dyDescent="0.25">
      <c r="B38" s="219"/>
      <c r="C38" s="213" t="s">
        <v>369</v>
      </c>
      <c r="D38" s="213" t="s">
        <v>225</v>
      </c>
      <c r="E38" s="213" t="s">
        <v>370</v>
      </c>
      <c r="F38" s="214" t="s">
        <v>364</v>
      </c>
      <c r="H38" s="220"/>
      <c r="I38" s="221"/>
      <c r="J38" s="222" t="s">
        <v>237</v>
      </c>
      <c r="K38" s="221" t="s">
        <v>371</v>
      </c>
      <c r="L38" s="223" t="s">
        <v>372</v>
      </c>
    </row>
    <row r="39" spans="2:12" ht="15" customHeight="1" x14ac:dyDescent="0.25">
      <c r="B39" s="224" t="s">
        <v>373</v>
      </c>
      <c r="C39" s="225" t="s">
        <v>230</v>
      </c>
      <c r="D39" s="225" t="s">
        <v>231</v>
      </c>
      <c r="E39" s="225" t="s">
        <v>226</v>
      </c>
      <c r="F39" s="226" t="s">
        <v>364</v>
      </c>
      <c r="H39" s="416" t="s">
        <v>374</v>
      </c>
      <c r="I39" s="227" t="s">
        <v>375</v>
      </c>
      <c r="J39" s="228" t="s">
        <v>235</v>
      </c>
      <c r="K39" s="227" t="s">
        <v>368</v>
      </c>
      <c r="L39" s="229" t="s">
        <v>376</v>
      </c>
    </row>
    <row r="40" spans="2:12" x14ac:dyDescent="0.25">
      <c r="B40" s="230"/>
      <c r="C40" s="231" t="s">
        <v>377</v>
      </c>
      <c r="D40" s="231" t="s">
        <v>378</v>
      </c>
      <c r="E40" s="231" t="s">
        <v>226</v>
      </c>
      <c r="F40" s="232" t="s">
        <v>236</v>
      </c>
      <c r="H40" s="417"/>
      <c r="I40" s="233"/>
      <c r="J40" s="203" t="s">
        <v>237</v>
      </c>
      <c r="K40" s="233" t="s">
        <v>371</v>
      </c>
      <c r="L40" s="234" t="s">
        <v>376</v>
      </c>
    </row>
    <row r="41" spans="2:12" x14ac:dyDescent="0.25">
      <c r="B41" s="235"/>
      <c r="C41" s="236" t="s">
        <v>379</v>
      </c>
      <c r="D41" s="236" t="s">
        <v>237</v>
      </c>
      <c r="E41" s="236" t="s">
        <v>380</v>
      </c>
      <c r="F41" s="237" t="s">
        <v>240</v>
      </c>
      <c r="H41" s="418"/>
      <c r="I41" s="238"/>
      <c r="J41" s="239" t="s">
        <v>381</v>
      </c>
      <c r="K41" s="238" t="s">
        <v>228</v>
      </c>
      <c r="L41" s="240" t="s">
        <v>376</v>
      </c>
    </row>
    <row r="42" spans="2:12" ht="24.75" customHeight="1" x14ac:dyDescent="0.25">
      <c r="B42" s="419" t="s">
        <v>382</v>
      </c>
      <c r="C42" s="241"/>
      <c r="D42" s="241" t="s">
        <v>383</v>
      </c>
      <c r="E42" s="241" t="s">
        <v>226</v>
      </c>
      <c r="F42" s="242" t="s">
        <v>243</v>
      </c>
      <c r="H42" s="243" t="s">
        <v>384</v>
      </c>
      <c r="I42" s="244" t="s">
        <v>385</v>
      </c>
      <c r="J42" s="245" t="s">
        <v>367</v>
      </c>
      <c r="K42" s="246" t="s">
        <v>368</v>
      </c>
      <c r="L42" s="247" t="s">
        <v>236</v>
      </c>
    </row>
    <row r="43" spans="2:12" ht="24" x14ac:dyDescent="0.25">
      <c r="B43" s="420"/>
      <c r="C43" s="248" t="s">
        <v>386</v>
      </c>
      <c r="D43" s="249" t="s">
        <v>237</v>
      </c>
      <c r="E43" s="249" t="s">
        <v>380</v>
      </c>
      <c r="F43" s="250" t="s">
        <v>240</v>
      </c>
      <c r="H43" s="416" t="s">
        <v>387</v>
      </c>
      <c r="I43" s="251" t="s">
        <v>388</v>
      </c>
      <c r="J43" s="228" t="s">
        <v>383</v>
      </c>
      <c r="K43" s="227" t="s">
        <v>368</v>
      </c>
      <c r="L43" s="229" t="s">
        <v>243</v>
      </c>
    </row>
    <row r="44" spans="2:12" x14ac:dyDescent="0.25">
      <c r="B44" s="421" t="s">
        <v>389</v>
      </c>
      <c r="C44" s="423" t="s">
        <v>390</v>
      </c>
      <c r="D44" s="423" t="s">
        <v>383</v>
      </c>
      <c r="E44" s="425" t="s">
        <v>226</v>
      </c>
      <c r="F44" s="427" t="s">
        <v>243</v>
      </c>
      <c r="H44" s="418"/>
      <c r="I44" s="233" t="s">
        <v>391</v>
      </c>
      <c r="J44" s="203" t="s">
        <v>237</v>
      </c>
      <c r="K44" s="233" t="s">
        <v>371</v>
      </c>
      <c r="L44" s="234" t="s">
        <v>372</v>
      </c>
    </row>
    <row r="45" spans="2:12" x14ac:dyDescent="0.25">
      <c r="B45" s="422"/>
      <c r="C45" s="424"/>
      <c r="D45" s="424"/>
      <c r="E45" s="426"/>
      <c r="F45" s="428"/>
      <c r="H45" s="252" t="s">
        <v>392</v>
      </c>
      <c r="I45" s="253" t="s">
        <v>393</v>
      </c>
      <c r="J45" s="254" t="s">
        <v>394</v>
      </c>
      <c r="K45" s="253" t="s">
        <v>368</v>
      </c>
      <c r="L45" s="255" t="s">
        <v>236</v>
      </c>
    </row>
    <row r="46" spans="2:12" ht="24" x14ac:dyDescent="0.25">
      <c r="B46" s="211" t="s">
        <v>249</v>
      </c>
      <c r="C46" s="412" t="s">
        <v>395</v>
      </c>
      <c r="D46" s="212" t="s">
        <v>383</v>
      </c>
      <c r="E46" s="212" t="s">
        <v>226</v>
      </c>
      <c r="F46" s="256" t="s">
        <v>243</v>
      </c>
      <c r="H46" s="257" t="s">
        <v>396</v>
      </c>
      <c r="I46" s="258" t="s">
        <v>397</v>
      </c>
      <c r="J46" s="259" t="s">
        <v>237</v>
      </c>
      <c r="K46" s="260" t="s">
        <v>371</v>
      </c>
      <c r="L46" s="261" t="s">
        <v>372</v>
      </c>
    </row>
    <row r="47" spans="2:12" x14ac:dyDescent="0.25">
      <c r="B47" s="219"/>
      <c r="C47" s="413"/>
      <c r="D47" s="213"/>
      <c r="E47" s="213"/>
      <c r="F47" s="214"/>
      <c r="H47" s="262" t="s">
        <v>373</v>
      </c>
      <c r="I47" s="263" t="s">
        <v>398</v>
      </c>
      <c r="J47" s="264" t="s">
        <v>231</v>
      </c>
      <c r="K47" s="263" t="s">
        <v>368</v>
      </c>
      <c r="L47" s="265" t="s">
        <v>399</v>
      </c>
    </row>
    <row r="48" spans="2:12" ht="15" thickBot="1" x14ac:dyDescent="0.3">
      <c r="B48" s="266"/>
      <c r="C48" s="414"/>
      <c r="D48" s="267" t="s">
        <v>237</v>
      </c>
      <c r="E48" s="267" t="s">
        <v>380</v>
      </c>
      <c r="F48" s="268" t="s">
        <v>240</v>
      </c>
      <c r="H48" s="269"/>
      <c r="I48" s="270" t="s">
        <v>391</v>
      </c>
      <c r="J48" s="271" t="s">
        <v>237</v>
      </c>
      <c r="K48" s="270" t="s">
        <v>371</v>
      </c>
      <c r="L48" s="272" t="s">
        <v>372</v>
      </c>
    </row>
  </sheetData>
  <mergeCells count="74">
    <mergeCell ref="C5:F5"/>
    <mergeCell ref="I5:L5"/>
    <mergeCell ref="B1:L1"/>
    <mergeCell ref="C3:F3"/>
    <mergeCell ref="I3:L3"/>
    <mergeCell ref="C4:F4"/>
    <mergeCell ref="I4:L4"/>
    <mergeCell ref="C6:F6"/>
    <mergeCell ref="I6:L6"/>
    <mergeCell ref="C7:F7"/>
    <mergeCell ref="I7:L7"/>
    <mergeCell ref="C8:F8"/>
    <mergeCell ref="I8:L8"/>
    <mergeCell ref="C9:F9"/>
    <mergeCell ref="I9:L9"/>
    <mergeCell ref="C10:F10"/>
    <mergeCell ref="I10:L10"/>
    <mergeCell ref="C11:F11"/>
    <mergeCell ref="I11:L11"/>
    <mergeCell ref="C12:F12"/>
    <mergeCell ref="I12:L12"/>
    <mergeCell ref="C13:F13"/>
    <mergeCell ref="I13:L13"/>
    <mergeCell ref="C14:F14"/>
    <mergeCell ref="I14:L14"/>
    <mergeCell ref="C15:F15"/>
    <mergeCell ref="I15:L15"/>
    <mergeCell ref="C16:F16"/>
    <mergeCell ref="I16:L16"/>
    <mergeCell ref="C17:F17"/>
    <mergeCell ref="I17:L17"/>
    <mergeCell ref="C18:F18"/>
    <mergeCell ref="I18:L18"/>
    <mergeCell ref="C19:F19"/>
    <mergeCell ref="I19:L19"/>
    <mergeCell ref="C20:F20"/>
    <mergeCell ref="I20:L20"/>
    <mergeCell ref="C21:F21"/>
    <mergeCell ref="I21:L21"/>
    <mergeCell ref="C22:F22"/>
    <mergeCell ref="I22:L22"/>
    <mergeCell ref="C23:F23"/>
    <mergeCell ref="I23:L23"/>
    <mergeCell ref="C24:F24"/>
    <mergeCell ref="I24:L24"/>
    <mergeCell ref="C25:F25"/>
    <mergeCell ref="I25:L25"/>
    <mergeCell ref="C26:F26"/>
    <mergeCell ref="I26:L26"/>
    <mergeCell ref="C27:F27"/>
    <mergeCell ref="I27:L27"/>
    <mergeCell ref="C28:F28"/>
    <mergeCell ref="I28:L28"/>
    <mergeCell ref="C29:F29"/>
    <mergeCell ref="I29:L29"/>
    <mergeCell ref="C30:F30"/>
    <mergeCell ref="I30:L30"/>
    <mergeCell ref="C31:F31"/>
    <mergeCell ref="I31:L31"/>
    <mergeCell ref="C32:F32"/>
    <mergeCell ref="I32:L32"/>
    <mergeCell ref="B42:B43"/>
    <mergeCell ref="H43:H44"/>
    <mergeCell ref="B44:B45"/>
    <mergeCell ref="C44:C45"/>
    <mergeCell ref="D44:D45"/>
    <mergeCell ref="E44:E45"/>
    <mergeCell ref="F44:F45"/>
    <mergeCell ref="C46:C48"/>
    <mergeCell ref="C33:F33"/>
    <mergeCell ref="I33:L33"/>
    <mergeCell ref="C34:F34"/>
    <mergeCell ref="I34:L34"/>
    <mergeCell ref="H39:H41"/>
  </mergeCells>
  <pageMargins left="0.2" right="0.2" top="0.5" bottom="0.5" header="0.3" footer="0.3"/>
  <pageSetup scale="8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8B081E-63C5-4E01-9C98-12F7A8FE78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46d502-05f5-4fb7-b414-24f33b7609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D60459-FEA9-4CDE-917D-6FC30ACB62BF}">
  <ds:schemaRefs>
    <ds:schemaRef ds:uri="http://purl.org/dc/dcmitype/"/>
    <ds:schemaRef ds:uri="http://schemas.openxmlformats.org/package/2006/metadata/core-properties"/>
    <ds:schemaRef ds:uri="7146d502-05f5-4fb7-b414-24f33b760985"/>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5B5DB8ED-E21D-4A84-A4DE-7C187CF8FA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Breed Master</vt:lpstr>
      <vt:lpstr>Breed L-cycle stages gilts</vt:lpstr>
      <vt:lpstr>Breed lifecycle stages - reprod</vt:lpstr>
      <vt:lpstr>Breeder L-cycle stages -WeanGro</vt:lpstr>
      <vt:lpstr>Sample 10, 16 &amp; 27 wk variation</vt:lpstr>
      <vt:lpstr>Medication Table</vt:lpstr>
      <vt:lpstr>Gilt Feed schedule - Farr</vt:lpstr>
      <vt:lpstr>Sow Feed Schedule - Farr</vt:lpstr>
      <vt:lpstr>Feed schedule - In Dry Sow</vt:lpstr>
      <vt:lpstr>Service Line Feed Schedule</vt:lpstr>
      <vt:lpstr>Treatment Card</vt:lpstr>
      <vt:lpstr>'Feed schedule - In Dry Sow'!Print_Area</vt:lpstr>
      <vt:lpstr>'Service Line Feed Schedule'!Print_Area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Abhinav Singh</dc:creator>
  <cp:keywords/>
  <dc:description/>
  <cp:lastModifiedBy>Manlow Charumbira</cp:lastModifiedBy>
  <cp:revision/>
  <cp:lastPrinted>2026-09-01T08:53:29Z</cp:lastPrinted>
  <dcterms:created xsi:type="dcterms:W3CDTF">2026-08-17T17:45:23Z</dcterms:created>
  <dcterms:modified xsi:type="dcterms:W3CDTF">2026-09-11T09:49:40Z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