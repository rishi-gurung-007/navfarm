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tgonamombe\AppData\Local\Temp\f7660f1f-721f-4991-8bca-e763c3e3a37b_Animal Register Templates.zip.37b\Animal Register Templates\"/>
    </mc:Choice>
  </mc:AlternateContent>
  <xr:revisionPtr revIDLastSave="5" documentId="8_{4611AE4B-88EC-4D1A-8B81-2F1947D0C9D5}" xr6:coauthVersionLast="47" xr6:coauthVersionMax="47" xr10:uidLastSave="{C3FF3BD3-5083-4FB9-9FF3-517C368A9592}"/>
  <bookViews>
    <workbookView xWindow="1464" yWindow="1464" windowWidth="17280" windowHeight="9960" xr2:uid="{81873A3B-85A7-4A1B-B700-8442B273DBD0}"/>
  </bookViews>
  <sheets>
    <sheet name="Animal Register" sheetId="2" r:id="rId1"/>
    <sheet name=" Breeding Recor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8" i="2" l="1"/>
  <c r="AN10" i="2"/>
  <c r="AN12" i="2"/>
  <c r="AN6" i="2"/>
  <c r="AC12" i="2"/>
  <c r="AC14" i="2" s="1"/>
  <c r="AB12" i="2"/>
  <c r="AB14" i="2" s="1"/>
  <c r="AA14" i="2"/>
  <c r="AA12" i="2"/>
  <c r="AC10" i="2"/>
  <c r="AB10" i="2"/>
  <c r="AA10" i="2"/>
  <c r="AE10" i="2" s="1"/>
  <c r="AC8" i="2"/>
  <c r="AB8" i="2"/>
  <c r="AA8" i="2"/>
  <c r="AE8" i="2"/>
  <c r="AC6" i="2"/>
  <c r="AE6" i="2" s="1"/>
  <c r="AA6" i="2"/>
  <c r="AE12" i="2"/>
  <c r="L11" i="1" l="1"/>
  <c r="K11" i="1" l="1"/>
  <c r="L9" i="1" l="1"/>
  <c r="K9" i="1" l="1"/>
</calcChain>
</file>

<file path=xl/sharedStrings.xml><?xml version="1.0" encoding="utf-8"?>
<sst xmlns="http://schemas.openxmlformats.org/spreadsheetml/2006/main" count="339" uniqueCount="201">
  <si>
    <t>Field Name</t>
  </si>
  <si>
    <t>Animal Code</t>
  </si>
  <si>
    <t>Animal Type</t>
  </si>
  <si>
    <t>Breed</t>
  </si>
  <si>
    <t>Gender</t>
  </si>
  <si>
    <t>Date of Birth</t>
  </si>
  <si>
    <t>Age at Entry Weeks</t>
  </si>
  <si>
    <t>Entry Type</t>
  </si>
  <si>
    <t>Entry Date</t>
  </si>
  <si>
    <t>Source GRN</t>
  </si>
  <si>
    <t>Source Batch Born From</t>
  </si>
  <si>
    <t>Animal Item</t>
  </si>
  <si>
    <t>Serial Number</t>
  </si>
  <si>
    <t>RFID Tag</t>
  </si>
  <si>
    <t>Ear Tag Visual</t>
  </si>
  <si>
    <t>Sire Father</t>
  </si>
  <si>
    <t>Dam Mother</t>
  </si>
  <si>
    <t>Acquisition Cost</t>
  </si>
  <si>
    <t>Landing Cost</t>
  </si>
  <si>
    <t>Total Opening Asset Value</t>
  </si>
  <si>
    <t>Current Stage</t>
  </si>
  <si>
    <t>Current Active Batch</t>
  </si>
  <si>
    <t>Current Location</t>
  </si>
  <si>
    <t>Parity Count</t>
  </si>
  <si>
    <t>Total Piglets Born Live</t>
  </si>
  <si>
    <t>Total Piglets Weaned</t>
  </si>
  <si>
    <t>Current Bio Asset Value</t>
  </si>
  <si>
    <t>Total Amortised</t>
  </si>
  <si>
    <t>Book Value NBV</t>
  </si>
  <si>
    <t>Residual Value</t>
  </si>
  <si>
    <t>Monthly Amortisation</t>
  </si>
  <si>
    <t>Productive Life Start Date</t>
  </si>
  <si>
    <t>Expected Cull Date</t>
  </si>
  <si>
    <t>Status</t>
  </si>
  <si>
    <t>Disposal Date</t>
  </si>
  <si>
    <t>Disposal Type</t>
  </si>
  <si>
    <t>Nos. of Teats</t>
  </si>
  <si>
    <t>TSI</t>
  </si>
  <si>
    <t xml:space="preserve">Grading </t>
  </si>
  <si>
    <t xml:space="preserve">Bio Asset Value </t>
  </si>
  <si>
    <t>Description</t>
  </si>
  <si>
    <t>Auto-generated from No. Series ANIMAL_PIGGERY. Format: PIG-YYYY-SEQ.</t>
  </si>
  <si>
    <t>SOW / BOAR / GILT / PIGLET / COMMERCIAL_PIG</t>
  </si>
  <si>
    <t>Animal breed. Lookup from breed_master filtered by NOB and LOB.</t>
  </si>
  <si>
    <t>F = Female Sow or Gilt. M = Male Boar.</t>
  </si>
  <si>
    <t>Date of birth if born on this farm. NULL if imported and DOB unknown.</t>
  </si>
  <si>
    <t>Computed from dob and entry_date. Manual entry if imported and DOB unknown.</t>
  </si>
  <si>
    <t>PURCHASED_IMPORTED / PURCHASED_LOCAL / BORN_ON_FARM / TRANSFERRED_IN</t>
  </si>
  <si>
    <t>Date animal arrived or was born on this farm.</t>
  </si>
  <si>
    <t>GRN on which this animal arrived. Required if entry_type = PURCHASED.</t>
  </si>
  <si>
    <t>Farrowing batch that produced this animal. Required if entry_type = BORN_ON_FARM.</t>
  </si>
  <si>
    <t>Lookup to item_master for this animal type LIVING_ASSET. Links inventory and costing.</t>
  </si>
  <si>
    <t>Individual serial number from item_lot_serials. Created on GRN POST.</t>
  </si>
  <si>
    <t>RFID ear tag number for scanning. UNIQUE if set.</t>
  </si>
  <si>
    <t>Visual ear tag number.</t>
  </si>
  <si>
    <t>Father boar. Self-referential FK. Links to boar record.</t>
  </si>
  <si>
    <t>Mother sow. Self-referential FK.</t>
  </si>
  <si>
    <t>Purchase price per animal. From PO line or manual entry on GRN.</t>
  </si>
  <si>
    <t>Transport import duty quarantine charges per head for imported animals.</t>
  </si>
  <si>
    <t>Total bio-asset value at entry. Auto-computed.</t>
  </si>
  <si>
    <t>QUARANTINE / GILT_GROWER / FLUSH / DRY_SOW / GESTATION / FARROWING / WEANING / PRODUCTIVE_SOW / BOAR_AI / CULLED / DEAD / SOLD / SLAUGHTERED</t>
  </si>
  <si>
    <t>FK to the batch this animal is currently in.</t>
  </si>
  <si>
    <t>FK to current shed or pen.</t>
  </si>
  <si>
    <t>Completed pregnancies. Incremented plus 1 on each weaning batch close.</t>
  </si>
  <si>
    <t>Cumulative live births over lifetime.</t>
  </si>
  <si>
    <t>Cumulative piglets weaned over lifetime.</t>
  </si>
  <si>
    <t>Live biological asset value. Auto-updated from bio_asset_ledger.</t>
  </si>
  <si>
    <t>Cumulative amortisation posted to date.</t>
  </si>
  <si>
    <t>Net Book Value = Current Bio Asset Value minus Total Amortised.</t>
  </si>
  <si>
    <t>Estimated salvage value at end of productive life.</t>
  </si>
  <si>
    <t>Monthly amortisation charge. Auto-calculated.</t>
  </si>
  <si>
    <t>Date animal entered productive stage first farrowing or PRODUCTIVE_SOW status.</t>
  </si>
  <si>
    <t>Expected disposal date based on productive life.</t>
  </si>
  <si>
    <t>ACTIVE / QUARANTINE / SICK / PREGNANT / LACTATING / DRY / CULLED / DEAD / SOLD / SLAUGHTERED</t>
  </si>
  <si>
    <t>Date of sale slaughter or death.</t>
  </si>
  <si>
    <t>SOLD / SLAUGHTERED / DIED / TRANSFERRED</t>
  </si>
  <si>
    <t>Count of Teates</t>
  </si>
  <si>
    <t>Featched from Topigs</t>
  </si>
  <si>
    <t>Flow from Navfarm Input  (Back Fat - P2 measurement)</t>
  </si>
  <si>
    <t>Non Current Asset/Flow from from BC</t>
  </si>
  <si>
    <t>Example Value</t>
  </si>
  <si>
    <t>PIG-2025-0001</t>
  </si>
  <si>
    <t>SOW</t>
  </si>
  <si>
    <t>uuid-breed-01</t>
  </si>
  <si>
    <t>F</t>
  </si>
  <si>
    <t>2024-10-01</t>
  </si>
  <si>
    <t>3</t>
  </si>
  <si>
    <t>PURCHASED_IMPORTED</t>
  </si>
  <si>
    <t>2025-01-15</t>
  </si>
  <si>
    <t>uuid-grn-001</t>
  </si>
  <si>
    <t>uuid-batch-farr-001</t>
  </si>
  <si>
    <t>uuid-item-gilt</t>
  </si>
  <si>
    <t>uuid-ls-001</t>
  </si>
  <si>
    <t>RFID-PIG-001234</t>
  </si>
  <si>
    <t>ET-2025-001</t>
  </si>
  <si>
    <t>uuid-ani-boar-001</t>
  </si>
  <si>
    <t>uuid-ani-sow-001</t>
  </si>
  <si>
    <t>2857.5700</t>
  </si>
  <si>
    <t>200.0000</t>
  </si>
  <si>
    <t>3057.5700</t>
  </si>
  <si>
    <t>QUARANTINE</t>
  </si>
  <si>
    <t>uuid-batch-gest-001</t>
  </si>
  <si>
    <t>uuid-loc-pen-01a</t>
  </si>
  <si>
    <t>2</t>
  </si>
  <si>
    <t>23</t>
  </si>
  <si>
    <t>21</t>
  </si>
  <si>
    <t>3843.5700</t>
  </si>
  <si>
    <t>3643.5700</t>
  </si>
  <si>
    <t>305.7600</t>
  </si>
  <si>
    <t>84.9400</t>
  </si>
  <si>
    <t>2025-08-01</t>
  </si>
  <si>
    <t>2028-08-01</t>
  </si>
  <si>
    <t>ACTIVE</t>
  </si>
  <si>
    <t>2028-09-01</t>
  </si>
  <si>
    <t>SOLD</t>
  </si>
  <si>
    <t>Mandatory</t>
  </si>
  <si>
    <t>YES</t>
  </si>
  <si>
    <t>NO</t>
  </si>
  <si>
    <t>COND</t>
  </si>
  <si>
    <t xml:space="preserve">Yes </t>
  </si>
  <si>
    <t>Yes</t>
  </si>
  <si>
    <t>4589MD</t>
  </si>
  <si>
    <t>TN70</t>
  </si>
  <si>
    <t>10WEEKS</t>
  </si>
  <si>
    <t>Purchased local</t>
  </si>
  <si>
    <t>HOME BRED (MAINSITE)</t>
  </si>
  <si>
    <t>Living asset</t>
  </si>
  <si>
    <t>n/a</t>
  </si>
  <si>
    <t xml:space="preserve">POOLED SEMEN L-LINE </t>
  </si>
  <si>
    <t>SY2361</t>
  </si>
  <si>
    <t>Get from accounts</t>
  </si>
  <si>
    <t>Gestation</t>
  </si>
  <si>
    <t>WEEK 20</t>
  </si>
  <si>
    <t>DRYSOW</t>
  </si>
  <si>
    <t>Pregnant</t>
  </si>
  <si>
    <t>1036MQ</t>
  </si>
  <si>
    <t>SX7871</t>
  </si>
  <si>
    <t xml:space="preserve">SUCKLING </t>
  </si>
  <si>
    <t>WEEK 18</t>
  </si>
  <si>
    <t>FARROWING</t>
  </si>
  <si>
    <t>SUCKLING</t>
  </si>
  <si>
    <t>0596MH</t>
  </si>
  <si>
    <t>SV2952</t>
  </si>
  <si>
    <t>G261117</t>
  </si>
  <si>
    <t xml:space="preserve">GILT </t>
  </si>
  <si>
    <t xml:space="preserve">FROM MULTIPLIER </t>
  </si>
  <si>
    <t>PY1642</t>
  </si>
  <si>
    <t>GILT REARING</t>
  </si>
  <si>
    <t>17WKS OLD</t>
  </si>
  <si>
    <t>F1 GROWER</t>
  </si>
  <si>
    <t>G262619</t>
  </si>
  <si>
    <t>NB8999</t>
  </si>
  <si>
    <t xml:space="preserve">10WKS OLD </t>
  </si>
  <si>
    <t xml:space="preserve">F1WEANER </t>
  </si>
  <si>
    <t>Breeding Record - AI or mating event per sow with semen lot pregnancy check and expected farrowing date, Just req data for the understanding, later stage.</t>
  </si>
  <si>
    <t>Tag Number</t>
  </si>
  <si>
    <t>Sow</t>
  </si>
  <si>
    <t>Batch</t>
  </si>
  <si>
    <t>Mating Type</t>
  </si>
  <si>
    <t>Boar</t>
  </si>
  <si>
    <t>Semen Lot</t>
  </si>
  <si>
    <t>Semen Dose Qty</t>
  </si>
  <si>
    <t>Mating Date</t>
  </si>
  <si>
    <t>Second Mating Date</t>
  </si>
  <si>
    <t>Expected Farrowing Date</t>
  </si>
  <si>
    <t>Pregnancy Check Date</t>
  </si>
  <si>
    <t>Pregnancy Check Method</t>
  </si>
  <si>
    <t>Pregnancy Confirmed</t>
  </si>
  <si>
    <t>Conception Result</t>
  </si>
  <si>
    <t>Parity Number</t>
  </si>
  <si>
    <t>The sow being mated. Lookup from animal_register where animal_type = SOW or GILT.</t>
  </si>
  <si>
    <t>The Flush or AI batch containing this event.</t>
  </si>
  <si>
    <t>AI = Artificial Insemination. NATURAL_MATING = with boar.</t>
  </si>
  <si>
    <t>The boar for NATURAL_MATING. Required if mating_type = NATURAL_MATING.</t>
  </si>
  <si>
    <t>Semen lot consumed for AI. Required if mating_type = AI. FIFO consumption of semen inventory.</t>
  </si>
  <si>
    <t>Doses used for this insemination. Posted as CONSUMPTION to inventory_ledger.</t>
  </si>
  <si>
    <t>Date of insemination or natural mating.</t>
  </si>
  <si>
    <t>Follow-up insemination 48hr repeat for AI.</t>
  </si>
  <si>
    <t>Expected farrowing date. Auto-calculated.</t>
  </si>
  <si>
    <t>Date of pregnancy confirmation check. Typically 28 days post mating.</t>
  </si>
  <si>
    <t>ULTRASOUND / RECTAL / VISUAL / NOT_CHECKED</t>
  </si>
  <si>
    <t>NULL = pending. TRUE = confirmed. FALSE = failed.</t>
  </si>
  <si>
    <t>CONFIRMED / REPEAT / FAILED / PENDING. If FAILED sow returns to Flush.</t>
  </si>
  <si>
    <t>Which parity this is for this sow.</t>
  </si>
  <si>
    <t>uuid-ani-sow</t>
  </si>
  <si>
    <t>uuid-batch-flush</t>
  </si>
  <si>
    <t>AI</t>
  </si>
  <si>
    <t>uuid-ani-boar</t>
  </si>
  <si>
    <t>uuid-ls-semen</t>
  </si>
  <si>
    <t>1.00</t>
  </si>
  <si>
    <t>2025-03-01</t>
  </si>
  <si>
    <t>2025-03-03</t>
  </si>
  <si>
    <t>2025-06-23</t>
  </si>
  <si>
    <t>2025-03-29</t>
  </si>
  <si>
    <t>ULTRASOUND</t>
  </si>
  <si>
    <t>TRUE</t>
  </si>
  <si>
    <t>CONFIRMED</t>
  </si>
  <si>
    <t>T1</t>
  </si>
  <si>
    <t>Ultrasound</t>
  </si>
  <si>
    <t>Confirmed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</si>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</sst>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2E86C1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6" fillId="8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/>
    <xf numFmtId="15" fontId="3" fillId="5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2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1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B56A-874B-4F90-A2FA-816C0F50091A}">
  <dimension ref="A1:AN27"/>
  <sheetViews>
    <sheetView tabSelected="1" zoomScale="90" zoomScaleNormal="90" workbookViewId="0">
      <selection activeCell="J7" sqref="J7"/>
    </sheetView>
  </sheetViews>
  <sheetFormatPr defaultColWidth="26.7109375" defaultRowHeight="14.45"/>
  <cols>
    <col min="1" max="1" width="10.85546875" bestFit="1" customWidth="1"/>
    <col min="2" max="2" width="19.85546875" customWidth="1"/>
    <col min="3" max="3" width="17.85546875" customWidth="1"/>
    <col min="4" max="5" width="17.7109375" customWidth="1"/>
    <col min="6" max="6" width="20.140625" customWidth="1"/>
    <col min="7" max="7" width="20.85546875" customWidth="1"/>
    <col min="8" max="8" width="25.28515625" bestFit="1" customWidth="1"/>
    <col min="9" max="9" width="26.140625" bestFit="1" customWidth="1"/>
    <col min="10" max="10" width="25.28515625" bestFit="1" customWidth="1"/>
    <col min="11" max="11" width="23.7109375" bestFit="1" customWidth="1"/>
    <col min="12" max="12" width="25.28515625" bestFit="1" customWidth="1"/>
    <col min="13" max="13" width="22.7109375" bestFit="1" customWidth="1"/>
    <col min="14" max="14" width="23" bestFit="1" customWidth="1"/>
    <col min="15" max="15" width="15.28515625" bestFit="1" customWidth="1"/>
    <col min="16" max="16" width="25.28515625" bestFit="1" customWidth="1"/>
    <col min="17" max="17" width="21.7109375" bestFit="1" customWidth="1"/>
    <col min="18" max="18" width="24.7109375" bestFit="1" customWidth="1"/>
    <col min="20" max="20" width="23.7109375" bestFit="1" customWidth="1"/>
    <col min="21" max="21" width="26.28515625" bestFit="1" customWidth="1"/>
    <col min="22" max="22" width="25.7109375" bestFit="1" customWidth="1"/>
    <col min="23" max="23" width="17.7109375" bestFit="1" customWidth="1"/>
    <col min="24" max="24" width="25.85546875" bestFit="1" customWidth="1"/>
    <col min="25" max="25" width="23.7109375" bestFit="1" customWidth="1"/>
    <col min="26" max="26" width="21.7109375" bestFit="1" customWidth="1"/>
    <col min="27" max="27" width="22" bestFit="1" customWidth="1"/>
    <col min="28" max="28" width="23.28515625" bestFit="1" customWidth="1"/>
    <col min="29" max="29" width="23.7109375" bestFit="1" customWidth="1"/>
    <col min="30" max="30" width="22.28515625" bestFit="1" customWidth="1"/>
    <col min="31" max="31" width="23.85546875" bestFit="1" customWidth="1"/>
    <col min="32" max="32" width="25.28515625" bestFit="1" customWidth="1"/>
    <col min="33" max="33" width="22.140625" bestFit="1" customWidth="1"/>
    <col min="34" max="34" width="21.85546875" bestFit="1" customWidth="1"/>
    <col min="35" max="35" width="21.140625" bestFit="1" customWidth="1"/>
    <col min="36" max="36" width="20.7109375" bestFit="1" customWidth="1"/>
  </cols>
  <sheetData>
    <row r="1" spans="1:40">
      <c r="A1" s="25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3" t="s">
        <v>6</v>
      </c>
      <c r="H1" s="16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6" t="s">
        <v>17</v>
      </c>
      <c r="S1" s="14" t="s">
        <v>18</v>
      </c>
      <c r="T1" s="17" t="s">
        <v>19</v>
      </c>
      <c r="U1" s="14" t="s">
        <v>20</v>
      </c>
      <c r="V1" s="15" t="s">
        <v>21</v>
      </c>
      <c r="W1" s="15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7" t="s">
        <v>29</v>
      </c>
      <c r="AE1" s="13" t="s">
        <v>30</v>
      </c>
      <c r="AF1" s="16" t="s">
        <v>31</v>
      </c>
      <c r="AG1" s="13" t="s">
        <v>32</v>
      </c>
      <c r="AH1" s="16" t="s">
        <v>33</v>
      </c>
      <c r="AI1" s="14" t="s">
        <v>34</v>
      </c>
      <c r="AJ1" s="16" t="s">
        <v>35</v>
      </c>
      <c r="AK1" s="27" t="s">
        <v>36</v>
      </c>
      <c r="AL1" s="27" t="s">
        <v>37</v>
      </c>
      <c r="AM1" s="26" t="s">
        <v>38</v>
      </c>
      <c r="AN1" s="26" t="s">
        <v>39</v>
      </c>
    </row>
    <row r="2" spans="1:40" ht="72">
      <c r="A2" s="25" t="s">
        <v>40</v>
      </c>
      <c r="B2" s="2" t="s">
        <v>41</v>
      </c>
      <c r="C2" s="3" t="s">
        <v>42</v>
      </c>
      <c r="D2" s="1" t="s">
        <v>43</v>
      </c>
      <c r="E2" s="3" t="s">
        <v>44</v>
      </c>
      <c r="F2" s="4" t="s">
        <v>45</v>
      </c>
      <c r="G2" s="2" t="s">
        <v>46</v>
      </c>
      <c r="H2" s="4" t="s">
        <v>47</v>
      </c>
      <c r="I2" s="3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4" t="s">
        <v>53</v>
      </c>
      <c r="O2" s="3" t="s">
        <v>54</v>
      </c>
      <c r="P2" s="1" t="s">
        <v>55</v>
      </c>
      <c r="Q2" s="1" t="s">
        <v>56</v>
      </c>
      <c r="R2" s="4" t="s">
        <v>57</v>
      </c>
      <c r="S2" s="3" t="s">
        <v>58</v>
      </c>
      <c r="T2" s="18" t="s">
        <v>59</v>
      </c>
      <c r="U2" s="3" t="s">
        <v>60</v>
      </c>
      <c r="V2" s="1" t="s">
        <v>61</v>
      </c>
      <c r="W2" s="1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18" t="s">
        <v>69</v>
      </c>
      <c r="AE2" s="2" t="s">
        <v>70</v>
      </c>
      <c r="AF2" s="4" t="s">
        <v>71</v>
      </c>
      <c r="AG2" s="2" t="s">
        <v>72</v>
      </c>
      <c r="AH2" s="4" t="s">
        <v>73</v>
      </c>
      <c r="AI2" s="3" t="s">
        <v>74</v>
      </c>
      <c r="AJ2" s="4" t="s">
        <v>75</v>
      </c>
      <c r="AK2" s="32" t="s">
        <v>76</v>
      </c>
      <c r="AL2" s="32" t="s">
        <v>77</v>
      </c>
      <c r="AM2" s="32" t="s">
        <v>78</v>
      </c>
      <c r="AN2" s="32" t="s">
        <v>79</v>
      </c>
    </row>
    <row r="3" spans="1:40" ht="24">
      <c r="A3" s="25" t="s">
        <v>80</v>
      </c>
      <c r="B3" s="2" t="s">
        <v>81</v>
      </c>
      <c r="C3" s="3" t="s">
        <v>82</v>
      </c>
      <c r="D3" s="1" t="s">
        <v>83</v>
      </c>
      <c r="E3" s="3" t="s">
        <v>84</v>
      </c>
      <c r="F3" s="4" t="s">
        <v>85</v>
      </c>
      <c r="G3" s="2" t="s">
        <v>86</v>
      </c>
      <c r="H3" s="4" t="s">
        <v>87</v>
      </c>
      <c r="I3" s="3" t="s">
        <v>88</v>
      </c>
      <c r="J3" s="1" t="s">
        <v>89</v>
      </c>
      <c r="K3" s="1" t="s">
        <v>90</v>
      </c>
      <c r="L3" s="1" t="s">
        <v>91</v>
      </c>
      <c r="M3" s="1" t="s">
        <v>92</v>
      </c>
      <c r="N3" s="4" t="s">
        <v>93</v>
      </c>
      <c r="O3" s="3" t="s">
        <v>94</v>
      </c>
      <c r="P3" s="1" t="s">
        <v>95</v>
      </c>
      <c r="Q3" s="1" t="s">
        <v>96</v>
      </c>
      <c r="R3" s="4" t="s">
        <v>97</v>
      </c>
      <c r="S3" s="3" t="s">
        <v>98</v>
      </c>
      <c r="T3" s="18" t="s">
        <v>99</v>
      </c>
      <c r="U3" s="3" t="s">
        <v>100</v>
      </c>
      <c r="V3" s="1" t="s">
        <v>101</v>
      </c>
      <c r="W3" s="1" t="s">
        <v>102</v>
      </c>
      <c r="X3" s="2" t="s">
        <v>103</v>
      </c>
      <c r="Y3" s="2" t="s">
        <v>104</v>
      </c>
      <c r="Z3" s="2" t="s">
        <v>105</v>
      </c>
      <c r="AA3" s="2" t="s">
        <v>106</v>
      </c>
      <c r="AB3" s="2" t="s">
        <v>98</v>
      </c>
      <c r="AC3" s="2" t="s">
        <v>107</v>
      </c>
      <c r="AD3" s="18" t="s">
        <v>108</v>
      </c>
      <c r="AE3" s="2" t="s">
        <v>109</v>
      </c>
      <c r="AF3" s="4" t="s">
        <v>110</v>
      </c>
      <c r="AG3" s="2" t="s">
        <v>111</v>
      </c>
      <c r="AH3" s="4" t="s">
        <v>112</v>
      </c>
      <c r="AI3" s="3" t="s">
        <v>113</v>
      </c>
      <c r="AJ3" s="30" t="s">
        <v>114</v>
      </c>
      <c r="AK3" s="28">
        <v>16</v>
      </c>
      <c r="AL3" s="28">
        <v>112</v>
      </c>
      <c r="AM3" s="29"/>
      <c r="AN3" s="29">
        <v>2223</v>
      </c>
    </row>
    <row r="4" spans="1:40">
      <c r="A4" s="25" t="s">
        <v>115</v>
      </c>
      <c r="B4" s="6" t="s">
        <v>116</v>
      </c>
      <c r="C4" s="7" t="s">
        <v>116</v>
      </c>
      <c r="D4" s="5" t="s">
        <v>116</v>
      </c>
      <c r="E4" s="7" t="s">
        <v>116</v>
      </c>
      <c r="F4" s="8" t="s">
        <v>117</v>
      </c>
      <c r="G4" s="9" t="s">
        <v>117</v>
      </c>
      <c r="H4" s="10" t="s">
        <v>116</v>
      </c>
      <c r="I4" s="7" t="s">
        <v>116</v>
      </c>
      <c r="J4" s="11" t="s">
        <v>118</v>
      </c>
      <c r="K4" s="11" t="s">
        <v>118</v>
      </c>
      <c r="L4" s="5" t="s">
        <v>116</v>
      </c>
      <c r="M4" s="5" t="s">
        <v>116</v>
      </c>
      <c r="N4" s="8" t="s">
        <v>117</v>
      </c>
      <c r="O4" s="12" t="s">
        <v>117</v>
      </c>
      <c r="P4" s="11" t="s">
        <v>117</v>
      </c>
      <c r="Q4" s="11" t="s">
        <v>117</v>
      </c>
      <c r="R4" s="10" t="s">
        <v>116</v>
      </c>
      <c r="S4" s="12" t="s">
        <v>117</v>
      </c>
      <c r="T4" s="19" t="s">
        <v>116</v>
      </c>
      <c r="U4" s="7" t="s">
        <v>116</v>
      </c>
      <c r="V4" s="11" t="s">
        <v>117</v>
      </c>
      <c r="W4" s="11" t="s">
        <v>117</v>
      </c>
      <c r="X4" s="6" t="s">
        <v>116</v>
      </c>
      <c r="Y4" s="6" t="s">
        <v>116</v>
      </c>
      <c r="Z4" s="6" t="s">
        <v>116</v>
      </c>
      <c r="AA4" s="6" t="s">
        <v>116</v>
      </c>
      <c r="AB4" s="6" t="s">
        <v>116</v>
      </c>
      <c r="AC4" s="6" t="s">
        <v>116</v>
      </c>
      <c r="AD4" s="20" t="s">
        <v>117</v>
      </c>
      <c r="AE4" s="9" t="s">
        <v>117</v>
      </c>
      <c r="AF4" s="8" t="s">
        <v>117</v>
      </c>
      <c r="AG4" s="9" t="s">
        <v>117</v>
      </c>
      <c r="AH4" s="10" t="s">
        <v>116</v>
      </c>
      <c r="AI4" s="12" t="s">
        <v>118</v>
      </c>
      <c r="AJ4" s="31" t="s">
        <v>118</v>
      </c>
      <c r="AK4" s="28" t="s">
        <v>119</v>
      </c>
      <c r="AL4" s="28" t="s">
        <v>120</v>
      </c>
      <c r="AM4" s="28" t="s">
        <v>120</v>
      </c>
      <c r="AN4" s="28" t="s">
        <v>120</v>
      </c>
    </row>
    <row r="6" spans="1:40">
      <c r="B6" t="s">
        <v>121</v>
      </c>
      <c r="C6" t="s">
        <v>82</v>
      </c>
      <c r="D6" t="s">
        <v>122</v>
      </c>
      <c r="E6" t="s">
        <v>84</v>
      </c>
      <c r="F6" s="40">
        <v>44890</v>
      </c>
      <c r="G6" t="s">
        <v>123</v>
      </c>
      <c r="H6" t="s">
        <v>124</v>
      </c>
      <c r="I6" s="40">
        <v>44959</v>
      </c>
      <c r="K6" t="s">
        <v>125</v>
      </c>
      <c r="L6" t="s">
        <v>126</v>
      </c>
      <c r="M6" t="s">
        <v>121</v>
      </c>
      <c r="N6" t="s">
        <v>127</v>
      </c>
      <c r="O6" t="s">
        <v>121</v>
      </c>
      <c r="P6" t="s">
        <v>128</v>
      </c>
      <c r="Q6" t="s">
        <v>129</v>
      </c>
      <c r="R6">
        <v>0</v>
      </c>
      <c r="S6">
        <v>0</v>
      </c>
      <c r="T6" t="s">
        <v>130</v>
      </c>
      <c r="U6" t="s">
        <v>131</v>
      </c>
      <c r="V6" t="s">
        <v>132</v>
      </c>
      <c r="W6" t="s">
        <v>133</v>
      </c>
      <c r="X6">
        <v>8</v>
      </c>
      <c r="Y6">
        <v>97</v>
      </c>
      <c r="Z6">
        <v>95</v>
      </c>
      <c r="AA6">
        <f>2.05*150</f>
        <v>307.5</v>
      </c>
      <c r="AB6">
        <v>0</v>
      </c>
      <c r="AC6">
        <f>+AA6</f>
        <v>307.5</v>
      </c>
      <c r="AE6">
        <f>+AD6</f>
        <v>0</v>
      </c>
      <c r="AF6" s="40">
        <v>45233</v>
      </c>
      <c r="AH6" t="s">
        <v>134</v>
      </c>
      <c r="AK6">
        <v>13</v>
      </c>
      <c r="AN6">
        <f>+AA6</f>
        <v>307.5</v>
      </c>
    </row>
    <row r="7" spans="1:40">
      <c r="U7" s="34"/>
    </row>
    <row r="8" spans="1:40">
      <c r="B8" t="s">
        <v>135</v>
      </c>
      <c r="C8" t="s">
        <v>82</v>
      </c>
      <c r="D8" t="s">
        <v>122</v>
      </c>
      <c r="E8" t="s">
        <v>84</v>
      </c>
      <c r="F8" s="40">
        <v>45613</v>
      </c>
      <c r="G8" t="s">
        <v>123</v>
      </c>
      <c r="H8" t="s">
        <v>124</v>
      </c>
      <c r="I8" s="40">
        <v>46009</v>
      </c>
      <c r="K8" t="s">
        <v>125</v>
      </c>
      <c r="L8" t="s">
        <v>126</v>
      </c>
      <c r="M8" t="s">
        <v>135</v>
      </c>
      <c r="N8" t="s">
        <v>127</v>
      </c>
      <c r="O8" t="s">
        <v>135</v>
      </c>
      <c r="P8" t="s">
        <v>128</v>
      </c>
      <c r="Q8" t="s">
        <v>136</v>
      </c>
      <c r="R8">
        <v>0</v>
      </c>
      <c r="S8">
        <v>0</v>
      </c>
      <c r="T8" t="s">
        <v>130</v>
      </c>
      <c r="U8" s="34" t="s">
        <v>137</v>
      </c>
      <c r="V8" t="s">
        <v>138</v>
      </c>
      <c r="W8" t="s">
        <v>139</v>
      </c>
      <c r="X8">
        <v>3</v>
      </c>
      <c r="Y8">
        <v>30</v>
      </c>
      <c r="Z8">
        <v>28</v>
      </c>
      <c r="AA8">
        <f>+AA6</f>
        <v>307.5</v>
      </c>
      <c r="AB8">
        <f>+AB6</f>
        <v>0</v>
      </c>
      <c r="AC8">
        <f>+AC6</f>
        <v>307.5</v>
      </c>
      <c r="AE8">
        <f>+AD8</f>
        <v>0</v>
      </c>
      <c r="AF8" s="40">
        <v>45988</v>
      </c>
      <c r="AH8" t="s">
        <v>140</v>
      </c>
      <c r="AK8">
        <v>15</v>
      </c>
      <c r="AN8">
        <f t="shared" ref="AN7:AN12" si="0">+AA8</f>
        <v>307.5</v>
      </c>
    </row>
    <row r="9" spans="1:40">
      <c r="U9" s="34"/>
    </row>
    <row r="10" spans="1:40">
      <c r="B10" t="s">
        <v>141</v>
      </c>
      <c r="C10" t="s">
        <v>82</v>
      </c>
      <c r="D10" t="s">
        <v>122</v>
      </c>
      <c r="E10" t="s">
        <v>84</v>
      </c>
      <c r="F10" s="40">
        <v>45194</v>
      </c>
      <c r="G10" t="s">
        <v>123</v>
      </c>
      <c r="H10" t="s">
        <v>124</v>
      </c>
      <c r="I10" s="40">
        <v>45194</v>
      </c>
      <c r="K10" t="s">
        <v>125</v>
      </c>
      <c r="L10" t="s">
        <v>126</v>
      </c>
      <c r="M10" t="s">
        <v>141</v>
      </c>
      <c r="N10" t="s">
        <v>127</v>
      </c>
      <c r="O10" t="s">
        <v>141</v>
      </c>
      <c r="P10" t="s">
        <v>128</v>
      </c>
      <c r="Q10" t="s">
        <v>142</v>
      </c>
      <c r="R10">
        <v>0</v>
      </c>
      <c r="S10">
        <v>0</v>
      </c>
      <c r="T10" t="s">
        <v>130</v>
      </c>
      <c r="U10" s="34" t="s">
        <v>137</v>
      </c>
      <c r="V10" t="s">
        <v>138</v>
      </c>
      <c r="W10" t="s">
        <v>139</v>
      </c>
      <c r="X10">
        <v>6</v>
      </c>
      <c r="Y10">
        <v>96</v>
      </c>
      <c r="Z10">
        <v>71</v>
      </c>
      <c r="AA10">
        <f>+AA8</f>
        <v>307.5</v>
      </c>
      <c r="AB10">
        <f>+AB8</f>
        <v>0</v>
      </c>
      <c r="AC10">
        <f>+AC8</f>
        <v>307.5</v>
      </c>
      <c r="AE10">
        <f>+AD10</f>
        <v>0</v>
      </c>
      <c r="AF10" s="40">
        <v>45540</v>
      </c>
      <c r="AH10" t="s">
        <v>140</v>
      </c>
      <c r="AK10">
        <v>15</v>
      </c>
      <c r="AN10">
        <f t="shared" si="0"/>
        <v>307.5</v>
      </c>
    </row>
    <row r="11" spans="1:40">
      <c r="U11" s="34"/>
    </row>
    <row r="12" spans="1:40">
      <c r="B12" t="s">
        <v>143</v>
      </c>
      <c r="C12" t="s">
        <v>144</v>
      </c>
      <c r="D12" t="s">
        <v>122</v>
      </c>
      <c r="E12" t="s">
        <v>84</v>
      </c>
      <c r="F12" s="40">
        <v>45884</v>
      </c>
      <c r="G12" t="s">
        <v>123</v>
      </c>
      <c r="H12" t="s">
        <v>145</v>
      </c>
      <c r="I12" s="40">
        <v>46163</v>
      </c>
      <c r="K12" t="s">
        <v>145</v>
      </c>
      <c r="L12" t="s">
        <v>126</v>
      </c>
      <c r="M12" t="s">
        <v>143</v>
      </c>
      <c r="N12" t="s">
        <v>127</v>
      </c>
      <c r="O12" t="s">
        <v>143</v>
      </c>
      <c r="P12" t="s">
        <v>128</v>
      </c>
      <c r="Q12" t="s">
        <v>146</v>
      </c>
      <c r="R12">
        <v>0</v>
      </c>
      <c r="S12">
        <v>0</v>
      </c>
      <c r="T12" t="s">
        <v>130</v>
      </c>
      <c r="U12" t="s">
        <v>147</v>
      </c>
      <c r="V12" t="s">
        <v>148</v>
      </c>
      <c r="W12" t="s">
        <v>149</v>
      </c>
      <c r="AA12">
        <f>+AA10</f>
        <v>307.5</v>
      </c>
      <c r="AB12">
        <f>+AB10</f>
        <v>0</v>
      </c>
      <c r="AC12">
        <f>+AC10</f>
        <v>307.5</v>
      </c>
      <c r="AE12">
        <f>+AD12</f>
        <v>0</v>
      </c>
      <c r="AF12" s="40"/>
      <c r="AH12" t="s">
        <v>147</v>
      </c>
      <c r="AK12">
        <v>16</v>
      </c>
      <c r="AN12">
        <f t="shared" si="0"/>
        <v>307.5</v>
      </c>
    </row>
    <row r="13" spans="1:40">
      <c r="U13" s="34"/>
    </row>
    <row r="14" spans="1:40">
      <c r="B14" t="s">
        <v>150</v>
      </c>
      <c r="C14" t="s">
        <v>144</v>
      </c>
      <c r="D14" t="s">
        <v>122</v>
      </c>
      <c r="E14" t="s">
        <v>84</v>
      </c>
      <c r="F14" s="40">
        <v>46194</v>
      </c>
      <c r="G14" t="s">
        <v>123</v>
      </c>
      <c r="H14" t="s">
        <v>145</v>
      </c>
      <c r="I14" s="40">
        <v>46261</v>
      </c>
      <c r="K14" t="s">
        <v>145</v>
      </c>
      <c r="L14" t="s">
        <v>126</v>
      </c>
      <c r="M14" t="s">
        <v>150</v>
      </c>
      <c r="N14" t="s">
        <v>127</v>
      </c>
      <c r="O14" t="s">
        <v>150</v>
      </c>
      <c r="P14" t="s">
        <v>128</v>
      </c>
      <c r="Q14" t="s">
        <v>151</v>
      </c>
      <c r="R14">
        <v>0</v>
      </c>
      <c r="S14">
        <v>0</v>
      </c>
      <c r="T14" t="s">
        <v>130</v>
      </c>
      <c r="U14" t="s">
        <v>147</v>
      </c>
      <c r="V14" s="34" t="s">
        <v>152</v>
      </c>
      <c r="W14" t="s">
        <v>153</v>
      </c>
      <c r="AA14">
        <f>+AA12</f>
        <v>307.5</v>
      </c>
      <c r="AB14">
        <f>+AB12</f>
        <v>0</v>
      </c>
      <c r="AC14">
        <f>+AC12</f>
        <v>307.5</v>
      </c>
      <c r="AE14">
        <v>0</v>
      </c>
      <c r="AH14" t="s">
        <v>147</v>
      </c>
    </row>
    <row r="15" spans="1:40">
      <c r="V15" s="37"/>
    </row>
    <row r="16" spans="1:40">
      <c r="V16" s="34"/>
    </row>
    <row r="17" spans="6:32">
      <c r="F17" s="40"/>
      <c r="I17" s="40"/>
      <c r="AF17" s="40"/>
    </row>
    <row r="18" spans="6:32">
      <c r="U18" s="34"/>
    </row>
    <row r="19" spans="6:32">
      <c r="F19" s="40"/>
      <c r="I19" s="40"/>
      <c r="U19" s="34"/>
      <c r="AF19" s="40"/>
    </row>
    <row r="20" spans="6:32">
      <c r="U20" s="34"/>
    </row>
    <row r="21" spans="6:32">
      <c r="F21" s="40"/>
      <c r="I21" s="40"/>
      <c r="U21" s="34"/>
      <c r="AF21" s="40"/>
    </row>
    <row r="22" spans="6:32">
      <c r="U22" s="34"/>
    </row>
    <row r="23" spans="6:32">
      <c r="F23" s="40"/>
      <c r="I23" s="40"/>
      <c r="AF23" s="40"/>
    </row>
    <row r="24" spans="6:32">
      <c r="U24" s="34"/>
    </row>
    <row r="25" spans="6:32">
      <c r="F25" s="40"/>
      <c r="I25" s="40"/>
      <c r="AF25" s="40"/>
    </row>
    <row r="27" spans="6:32">
      <c r="U27" s="34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334-DDBC-4757-B076-3BE8B36A894A}">
  <dimension ref="A1:Q15"/>
  <sheetViews>
    <sheetView topLeftCell="B1" zoomScale="78" workbookViewId="0">
      <selection activeCell="P13" sqref="P13"/>
    </sheetView>
  </sheetViews>
  <sheetFormatPr defaultColWidth="28.7109375" defaultRowHeight="14.45"/>
  <cols>
    <col min="1" max="2" width="13" customWidth="1"/>
    <col min="3" max="3" width="28.28515625" bestFit="1" customWidth="1"/>
    <col min="4" max="4" width="28.7109375" bestFit="1" customWidth="1"/>
    <col min="5" max="5" width="21.140625" bestFit="1" customWidth="1"/>
    <col min="6" max="6" width="28.140625" bestFit="1" customWidth="1"/>
    <col min="7" max="7" width="26.140625" bestFit="1" customWidth="1"/>
    <col min="8" max="8" width="27.28515625" bestFit="1" customWidth="1"/>
    <col min="9" max="9" width="26.28515625" bestFit="1" customWidth="1"/>
    <col min="10" max="11" width="28.28515625" bestFit="1" customWidth="1"/>
    <col min="12" max="12" width="26.28515625" bestFit="1" customWidth="1"/>
    <col min="13" max="13" width="23.140625" bestFit="1" customWidth="1"/>
    <col min="14" max="14" width="28.28515625" bestFit="1" customWidth="1"/>
    <col min="15" max="15" width="27.7109375" bestFit="1" customWidth="1"/>
    <col min="16" max="16" width="21.28515625" bestFit="1" customWidth="1"/>
  </cols>
  <sheetData>
    <row r="1" spans="1:17">
      <c r="A1" s="42" t="s">
        <v>154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>
      <c r="A2" s="25" t="s">
        <v>0</v>
      </c>
      <c r="B2" s="25" t="s">
        <v>155</v>
      </c>
      <c r="C2" s="21" t="s">
        <v>156</v>
      </c>
      <c r="D2" s="21" t="s">
        <v>157</v>
      </c>
      <c r="E2" s="22" t="s">
        <v>158</v>
      </c>
      <c r="F2" s="21" t="s">
        <v>159</v>
      </c>
      <c r="G2" s="21" t="s">
        <v>160</v>
      </c>
      <c r="H2" s="23" t="s">
        <v>161</v>
      </c>
      <c r="I2" s="22" t="s">
        <v>162</v>
      </c>
      <c r="J2" s="23" t="s">
        <v>163</v>
      </c>
      <c r="K2" s="24" t="s">
        <v>164</v>
      </c>
      <c r="L2" s="23" t="s">
        <v>165</v>
      </c>
      <c r="M2" s="22" t="s">
        <v>166</v>
      </c>
      <c r="N2" s="23" t="s">
        <v>167</v>
      </c>
      <c r="O2" s="22" t="s">
        <v>168</v>
      </c>
      <c r="P2" s="24" t="s">
        <v>169</v>
      </c>
    </row>
    <row r="3" spans="1:17" ht="51.75" customHeight="1">
      <c r="A3" s="25" t="s">
        <v>40</v>
      </c>
      <c r="B3" s="25" t="s">
        <v>155</v>
      </c>
      <c r="C3" s="11" t="s">
        <v>170</v>
      </c>
      <c r="D3" s="11" t="s">
        <v>171</v>
      </c>
      <c r="E3" s="12" t="s">
        <v>172</v>
      </c>
      <c r="F3" s="11" t="s">
        <v>173</v>
      </c>
      <c r="G3" s="11" t="s">
        <v>174</v>
      </c>
      <c r="H3" s="8" t="s">
        <v>175</v>
      </c>
      <c r="I3" s="12" t="s">
        <v>176</v>
      </c>
      <c r="J3" s="8" t="s">
        <v>177</v>
      </c>
      <c r="K3" s="9" t="s">
        <v>178</v>
      </c>
      <c r="L3" s="8" t="s">
        <v>179</v>
      </c>
      <c r="M3" s="12" t="s">
        <v>180</v>
      </c>
      <c r="N3" s="8" t="s">
        <v>181</v>
      </c>
      <c r="O3" s="12" t="s">
        <v>182</v>
      </c>
      <c r="P3" s="9" t="s">
        <v>183</v>
      </c>
    </row>
    <row r="4" spans="1:17">
      <c r="A4" s="25" t="s">
        <v>80</v>
      </c>
      <c r="B4" s="25"/>
      <c r="C4" s="11" t="s">
        <v>184</v>
      </c>
      <c r="D4" s="11" t="s">
        <v>185</v>
      </c>
      <c r="E4" s="12" t="s">
        <v>186</v>
      </c>
      <c r="F4" s="11" t="s">
        <v>187</v>
      </c>
      <c r="G4" s="11" t="s">
        <v>188</v>
      </c>
      <c r="H4" s="8" t="s">
        <v>189</v>
      </c>
      <c r="I4" s="12" t="s">
        <v>190</v>
      </c>
      <c r="J4" s="8" t="s">
        <v>191</v>
      </c>
      <c r="K4" s="9" t="s">
        <v>192</v>
      </c>
      <c r="L4" s="8" t="s">
        <v>193</v>
      </c>
      <c r="M4" s="12" t="s">
        <v>194</v>
      </c>
      <c r="N4" s="8" t="s">
        <v>195</v>
      </c>
      <c r="O4" s="12" t="s">
        <v>196</v>
      </c>
      <c r="P4" s="9" t="s">
        <v>86</v>
      </c>
    </row>
    <row r="5" spans="1:17">
      <c r="A5" s="25" t="s">
        <v>115</v>
      </c>
      <c r="B5" s="25" t="s">
        <v>116</v>
      </c>
      <c r="C5" s="5" t="s">
        <v>116</v>
      </c>
      <c r="D5" s="5" t="s">
        <v>116</v>
      </c>
      <c r="E5" s="7" t="s">
        <v>116</v>
      </c>
      <c r="F5" s="11" t="s">
        <v>118</v>
      </c>
      <c r="G5" s="11" t="s">
        <v>118</v>
      </c>
      <c r="H5" s="8" t="s">
        <v>118</v>
      </c>
      <c r="I5" s="7" t="s">
        <v>116</v>
      </c>
      <c r="J5" s="8" t="s">
        <v>117</v>
      </c>
      <c r="K5" s="6" t="s">
        <v>116</v>
      </c>
      <c r="L5" s="8" t="s">
        <v>116</v>
      </c>
      <c r="M5" s="12" t="s">
        <v>116</v>
      </c>
      <c r="N5" s="8" t="s">
        <v>117</v>
      </c>
      <c r="O5" s="12" t="s">
        <v>117</v>
      </c>
      <c r="P5" s="6" t="s">
        <v>116</v>
      </c>
    </row>
    <row r="7" spans="1:17">
      <c r="B7" t="s">
        <v>121</v>
      </c>
      <c r="C7" t="s">
        <v>82</v>
      </c>
      <c r="E7" t="s">
        <v>186</v>
      </c>
      <c r="G7" s="33" t="s">
        <v>197</v>
      </c>
      <c r="H7">
        <v>1</v>
      </c>
      <c r="I7" s="34">
        <v>46153</v>
      </c>
      <c r="J7" s="35"/>
      <c r="K7" s="34">
        <v>46267</v>
      </c>
      <c r="L7" s="34">
        <v>46174</v>
      </c>
      <c r="M7" s="36" t="s">
        <v>198</v>
      </c>
      <c r="N7" t="b">
        <v>1</v>
      </c>
      <c r="O7" s="36" t="s">
        <v>199</v>
      </c>
      <c r="P7">
        <v>8</v>
      </c>
    </row>
    <row r="8" spans="1:17">
      <c r="O8" s="36"/>
    </row>
    <row r="9" spans="1:17">
      <c r="B9" t="s">
        <v>135</v>
      </c>
      <c r="C9" t="s">
        <v>82</v>
      </c>
      <c r="E9" t="s">
        <v>186</v>
      </c>
      <c r="G9" s="33" t="s">
        <v>197</v>
      </c>
      <c r="H9">
        <v>2</v>
      </c>
      <c r="I9" s="34">
        <v>46139</v>
      </c>
      <c r="J9" s="41">
        <v>46140</v>
      </c>
      <c r="K9" s="34">
        <f>+I9+116</f>
        <v>46255</v>
      </c>
      <c r="L9" s="34">
        <f>+I9+28</f>
        <v>46167</v>
      </c>
      <c r="M9" s="36" t="s">
        <v>198</v>
      </c>
      <c r="N9" t="b">
        <v>1</v>
      </c>
      <c r="O9" s="36" t="s">
        <v>199</v>
      </c>
      <c r="P9">
        <v>3</v>
      </c>
    </row>
    <row r="10" spans="1:17">
      <c r="J10" s="38"/>
      <c r="L10" s="34"/>
      <c r="O10" s="36"/>
    </row>
    <row r="11" spans="1:17">
      <c r="B11" t="s">
        <v>141</v>
      </c>
      <c r="C11" t="s">
        <v>82</v>
      </c>
      <c r="E11" t="s">
        <v>186</v>
      </c>
      <c r="G11" s="33" t="s">
        <v>197</v>
      </c>
      <c r="H11">
        <v>1</v>
      </c>
      <c r="I11" s="34">
        <v>46139</v>
      </c>
      <c r="J11" s="41">
        <v>46140</v>
      </c>
      <c r="K11" s="34">
        <f>+I11+116</f>
        <v>46255</v>
      </c>
      <c r="L11" s="34">
        <f>+I11+28</f>
        <v>46167</v>
      </c>
      <c r="M11" s="36" t="s">
        <v>198</v>
      </c>
      <c r="N11" t="b">
        <v>1</v>
      </c>
      <c r="O11" s="36" t="s">
        <v>199</v>
      </c>
      <c r="P11">
        <v>6</v>
      </c>
    </row>
    <row r="12" spans="1:17">
      <c r="J12" s="38"/>
      <c r="L12" s="34"/>
      <c r="O12" s="36"/>
    </row>
    <row r="13" spans="1:17">
      <c r="B13" t="s">
        <v>143</v>
      </c>
      <c r="C13" t="s">
        <v>144</v>
      </c>
      <c r="E13" t="s">
        <v>186</v>
      </c>
      <c r="G13" s="33" t="s">
        <v>200</v>
      </c>
      <c r="I13" s="34"/>
      <c r="J13" s="39"/>
      <c r="K13" s="34"/>
      <c r="L13" s="34"/>
      <c r="M13" s="36" t="s">
        <v>198</v>
      </c>
      <c r="N13" t="s">
        <v>200</v>
      </c>
      <c r="O13" s="36"/>
      <c r="P13">
        <v>0</v>
      </c>
    </row>
    <row r="14" spans="1:17">
      <c r="I14" s="40"/>
    </row>
    <row r="15" spans="1:17">
      <c r="B15" t="s">
        <v>150</v>
      </c>
      <c r="C15" t="s">
        <v>144</v>
      </c>
      <c r="E15" t="s">
        <v>186</v>
      </c>
      <c r="G15" s="33" t="s">
        <v>200</v>
      </c>
      <c r="I15" s="34"/>
      <c r="J15" s="39"/>
      <c r="K15" s="34"/>
      <c r="L15" s="34"/>
      <c r="M15" s="36"/>
      <c r="N15" s="38" t="s">
        <v>200</v>
      </c>
      <c r="O15" s="36"/>
      <c r="P15">
        <v>0</v>
      </c>
    </row>
  </sheetData>
  <mergeCells count="1">
    <mergeCell ref="A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D41CE624-0CAE-44FF-97AE-0BE2296CAA2F}"/>
</file>

<file path=customXml/itemProps2.xml><?xml version="1.0" encoding="utf-8"?>
<ds:datastoreItem xmlns:ds="http://schemas.openxmlformats.org/officeDocument/2006/customXml" ds:itemID="{4D28C192-8F9F-4BF7-8576-6FC152F505CC}"/>
</file>

<file path=customXml/itemProps3.xml><?xml version="1.0" encoding="utf-8"?>
<ds:datastoreItem xmlns:ds="http://schemas.openxmlformats.org/officeDocument/2006/customXml" ds:itemID="{F92D1635-5729-4393-A801-C1E15CF6DA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Runyararo Charenzwa Sithole</cp:lastModifiedBy>
  <cp:revision/>
  <dcterms:created xsi:type="dcterms:W3CDTF">2026-08-17T18:24:52Z</dcterms:created>
  <dcterms:modified xsi:type="dcterms:W3CDTF">2026-09-09T16:12:56Z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