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lcomzimbabwe-my.sharepoint.com/personal/mcharumbira_colcom_co_zw/Documents/Documents/NAVFARM TEMPLATES FOR APPROVALS/"/>
    </mc:Choice>
  </mc:AlternateContent>
  <xr:revisionPtr revIDLastSave="0" documentId="8_{6633132E-1B48-497D-9E37-1C19A20AEFA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0" i="1" l="1"/>
  <c r="I88" i="1" l="1"/>
  <c r="C90" i="1"/>
  <c r="D90" i="1"/>
  <c r="E90" i="1"/>
  <c r="G90" i="1"/>
  <c r="G91" i="1" s="1"/>
  <c r="I90" i="1"/>
  <c r="I91" i="1" s="1"/>
  <c r="J90" i="1"/>
  <c r="J91" i="1" s="1"/>
  <c r="C91" i="1"/>
  <c r="D91" i="1"/>
  <c r="E91" i="1"/>
  <c r="J88" i="1"/>
  <c r="C88" i="1"/>
  <c r="D88" i="1"/>
  <c r="E88" i="1"/>
  <c r="G88" i="1"/>
  <c r="C84" i="1"/>
  <c r="C85" i="1" s="1"/>
  <c r="D84" i="1"/>
  <c r="D87" i="1" s="1"/>
  <c r="E84" i="1"/>
  <c r="E87" i="1" s="1"/>
  <c r="G84" i="1"/>
  <c r="G85" i="1" s="1"/>
  <c r="I84" i="1"/>
  <c r="I85" i="1" s="1"/>
  <c r="I101" i="1" s="1"/>
  <c r="J84" i="1"/>
  <c r="J85" i="1" s="1"/>
  <c r="J101" i="1" s="1"/>
  <c r="C78" i="1"/>
  <c r="D78" i="1"/>
  <c r="E78" i="1"/>
  <c r="G78" i="1"/>
  <c r="I78" i="1"/>
  <c r="J78" i="1"/>
  <c r="C73" i="1"/>
  <c r="D73" i="1"/>
  <c r="E73" i="1"/>
  <c r="G73" i="1"/>
  <c r="I73" i="1"/>
  <c r="J73" i="1"/>
  <c r="C69" i="1"/>
  <c r="D69" i="1"/>
  <c r="E69" i="1"/>
  <c r="G69" i="1"/>
  <c r="I69" i="1"/>
  <c r="J69" i="1"/>
  <c r="C70" i="1"/>
  <c r="D70" i="1"/>
  <c r="G70" i="1"/>
  <c r="I70" i="1"/>
  <c r="J70" i="1"/>
  <c r="C71" i="1"/>
  <c r="D71" i="1"/>
  <c r="E71" i="1"/>
  <c r="G71" i="1"/>
  <c r="I71" i="1"/>
  <c r="J71" i="1"/>
  <c r="C63" i="1"/>
  <c r="D63" i="1"/>
  <c r="E63" i="1"/>
  <c r="G63" i="1"/>
  <c r="I63" i="1"/>
  <c r="J63" i="1"/>
  <c r="C64" i="1"/>
  <c r="D64" i="1"/>
  <c r="E64" i="1"/>
  <c r="G64" i="1"/>
  <c r="I64" i="1"/>
  <c r="J64" i="1"/>
  <c r="C65" i="1"/>
  <c r="D65" i="1"/>
  <c r="E65" i="1"/>
  <c r="G65" i="1"/>
  <c r="I65" i="1"/>
  <c r="J65" i="1"/>
  <c r="J62" i="1"/>
  <c r="C55" i="1"/>
  <c r="D55" i="1"/>
  <c r="E55" i="1"/>
  <c r="G55" i="1"/>
  <c r="I55" i="1"/>
  <c r="J55" i="1"/>
  <c r="I47" i="1"/>
  <c r="I57" i="1" s="1"/>
  <c r="J47" i="1"/>
  <c r="J57" i="1" s="1"/>
  <c r="C47" i="1"/>
  <c r="D47" i="1"/>
  <c r="E47" i="1"/>
  <c r="G47" i="1"/>
  <c r="I45" i="1"/>
  <c r="J45" i="1"/>
  <c r="C38" i="1"/>
  <c r="D38" i="1"/>
  <c r="E38" i="1"/>
  <c r="G38" i="1"/>
  <c r="I38" i="1"/>
  <c r="J38" i="1"/>
  <c r="E36" i="1"/>
  <c r="G36" i="1"/>
  <c r="I36" i="1"/>
  <c r="J36" i="1"/>
  <c r="E33" i="1"/>
  <c r="G33" i="1"/>
  <c r="I33" i="1"/>
  <c r="J33" i="1"/>
  <c r="E30" i="1"/>
  <c r="G30" i="1"/>
  <c r="I30" i="1"/>
  <c r="J30" i="1"/>
  <c r="I24" i="1"/>
  <c r="J24" i="1"/>
  <c r="E24" i="1"/>
  <c r="I21" i="1"/>
  <c r="J21" i="1"/>
  <c r="E21" i="1"/>
  <c r="C14" i="1"/>
  <c r="D14" i="1"/>
  <c r="E14" i="1"/>
  <c r="G14" i="1"/>
  <c r="I14" i="1"/>
  <c r="J14" i="1"/>
  <c r="G62" i="1" l="1"/>
  <c r="G57" i="1"/>
  <c r="D68" i="1"/>
  <c r="D57" i="1"/>
  <c r="C68" i="1"/>
  <c r="C57" i="1"/>
  <c r="J87" i="1"/>
  <c r="E68" i="1"/>
  <c r="E57" i="1"/>
  <c r="E62" i="1"/>
  <c r="G68" i="1"/>
  <c r="I87" i="1"/>
  <c r="G87" i="1"/>
  <c r="C62" i="1"/>
  <c r="I68" i="1"/>
  <c r="E85" i="1"/>
  <c r="I62" i="1"/>
  <c r="C87" i="1"/>
  <c r="D62" i="1"/>
  <c r="D85" i="1"/>
  <c r="C56" i="1"/>
  <c r="C66" i="1" s="1"/>
  <c r="D56" i="1"/>
  <c r="D66" i="1" s="1"/>
  <c r="E56" i="1"/>
  <c r="E66" i="1" s="1"/>
  <c r="G56" i="1"/>
  <c r="G66" i="1" s="1"/>
  <c r="J56" i="1"/>
  <c r="J66" i="1" s="1"/>
  <c r="I56" i="1"/>
  <c r="I66" i="1" s="1"/>
  <c r="E45" i="1"/>
  <c r="E101" i="1"/>
  <c r="G45" i="1" l="1"/>
  <c r="C45" i="1"/>
  <c r="D45" i="1"/>
  <c r="C36" i="1"/>
  <c r="D36" i="1"/>
  <c r="C33" i="1"/>
  <c r="D33" i="1"/>
  <c r="C30" i="1"/>
  <c r="D30" i="1"/>
  <c r="C27" i="1"/>
  <c r="D27" i="1"/>
  <c r="G27" i="1"/>
  <c r="C21" i="1"/>
  <c r="D21" i="1"/>
  <c r="G21" i="1"/>
  <c r="C24" i="1"/>
  <c r="D24" i="1"/>
  <c r="G24" i="1"/>
  <c r="G101" i="1"/>
  <c r="D94" i="1"/>
  <c r="D101" i="1" l="1"/>
  <c r="C10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tc={9C7D58F1-07BE-44A2-9682-CAAA6E447E98}</author>
    <author>tc={33DF2401-0BAE-431A-A530-4BBB4650F2FD}</author>
    <author>tc={7E8E7C34-D148-4A41-B5DB-04FD4577B503}</author>
    <author>tc={AE84F793-D4CC-4826-AECD-BC1D39C8AF6D}</author>
    <author>tc={1DE0FF79-4E2A-4109-BB94-6CF8D47D9025}</author>
    <author>tc={3C7F9E2E-2BB1-4D21-95FC-04161DE37207}</author>
    <author>tc={516E81AA-EAEE-416A-AFEC-AD51FF714936}</author>
    <author>tc={8B06A332-DF8C-4217-8724-7ECFC6CC9598}</author>
    <author>tc={9D6066C5-1D36-481C-A1B1-0E7D5DEDCB2F}</author>
  </authors>
  <commentList>
    <comment ref="C10" authorId="0" shapeId="0" xr:uid="{9C7D58F1-07BE-44A2-9682-CAAA6E447E98}">
      <text>
        <t>[Threaded comment]
Your version of Excel allows you to read this threaded comment; however, any edits to it will get removed if the file is opened in a newer version of Excel. Learn more: https://go.microsoft.com/fwlink/?linkid=870924
Comment:
    Note that this is an internal scoring system based on a visual check - 1 being poor and 5 being good</t>
      </text>
    </comment>
    <comment ref="A25" authorId="1" shapeId="0" xr:uid="{33DF2401-0BAE-431A-A530-4BBB4650F2FD}">
      <text>
        <t>[Threaded comment]
Your version of Excel allows you to read this threaded comment; however, any edits to it will get removed if the file is opened in a newer version of Excel. Learn more: https://go.microsoft.com/fwlink/?linkid=870924
Comment:
    Note Porta on 24 weeks</t>
      </text>
    </comment>
    <comment ref="A31" authorId="2" shapeId="0" xr:uid="{7E8E7C34-D148-4A41-B5DB-04FD4577B503}">
      <text>
        <t>[Threaded comment]
Your version of Excel allows you to read this threaded comment; however, any edits to it will get removed if the file is opened in a newer version of Excel. Learn more: https://go.microsoft.com/fwlink/?linkid=870924
Comment:
    Note Porta on 27 weeks</t>
      </text>
    </comment>
    <comment ref="B38" authorId="3" shapeId="0" xr:uid="{AE84F793-D4CC-4826-AECD-BC1D39C8AF6D}">
      <text>
        <t xml:space="preserve">[Threaded comment]
Your version of Excel allows you to read this threaded comment; however, any edits to it will get removed if the file is opened in a newer version of Excel. Learn more: https://go.microsoft.com/fwlink/?linkid=870924
Comment:
    Because the pigs go to service line at different ages, the batch breaks apart. We still need to know of the batch when all have been cleared out, how many were served against the original 10 week purchase </t>
      </text>
    </comment>
    <comment ref="C40" authorId="4" shapeId="0" xr:uid="{1DE0FF79-4E2A-4109-BB94-6CF8D47D9025}">
      <text>
        <t>[Threaded comment]
Your version of Excel allows you to read this threaded comment; however, any edits to it will get removed if the file is opened in a newer version of Excel. Learn more: https://go.microsoft.com/fwlink/?linkid=870924
Comment:
    Gilt service weight aiming for into farrow weight of 245kgs, we want to have an alert to indicate how much gain it does need so it can be related back to how much to feed the animal</t>
      </text>
    </comment>
    <comment ref="C57" authorId="5" shapeId="0" xr:uid="{3C7F9E2E-2BB1-4D21-95FC-04161DE37207}">
      <text>
        <t>[Threaded comment]
Your version of Excel allows you to read this threaded comment; however, any edits to it will get removed if the file is opened in a newer version of Excel. Learn more: https://go.microsoft.com/fwlink/?linkid=870924
Comment:
    Gilt service weight aiming for into farrow weight of 245kgs, we want to have an alert to indicate how much gain it does need so it can be related back to how much to feed the animal</t>
      </text>
    </comment>
    <comment ref="A72" authorId="6" shapeId="0" xr:uid="{516E81AA-EAEE-416A-AFEC-AD51FF714936}">
      <text>
        <t>[Threaded comment]
Your version of Excel allows you to read this threaded comment; however, any edits to it will get removed if the file is opened in a newer version of Excel. Learn more: https://go.microsoft.com/fwlink/?linkid=870924
Comment:
    Includes gilts, 2nds and 3rd parity plus</t>
      </text>
    </comment>
    <comment ref="B88" authorId="7" shapeId="0" xr:uid="{8B06A332-DF8C-4217-8724-7ECFC6CC9598}">
      <text>
        <t>[Threaded comment]
Your version of Excel allows you to read this threaded comment; however, any edits to it will get removed if the file is opened in a newer version of Excel. Learn more: https://go.microsoft.com/fwlink/?linkid=870924
Comment:
    Include what was sent to other farms ie: Learig as links to total animals weaned target</t>
      </text>
    </comment>
    <comment ref="B94" authorId="8" shapeId="0" xr:uid="{9D6066C5-1D36-481C-A1B1-0E7D5DEDCB2F}">
      <text>
        <t>[Threaded comment]
Your version of Excel allows you to read this threaded comment; however, any edits to it will get removed if the file is opened in a newer version of Excel. Learn more: https://go.microsoft.com/fwlink/?linkid=870924
Comment:
    This should not include anything sent out to other farms - only grower numbers captured against pigs to colcom target - on entry to grower</t>
      </text>
    </comment>
  </commentList>
</comments>
</file>

<file path=xl/sharedStrings.xml><?xml version="1.0" encoding="utf-8"?>
<sst xmlns="http://schemas.openxmlformats.org/spreadsheetml/2006/main" count="246" uniqueCount="125">
  <si>
    <t>FARM</t>
  </si>
  <si>
    <t>RICHLANDS</t>
  </si>
  <si>
    <t>PORTA</t>
  </si>
  <si>
    <t>LIONSHEAD</t>
  </si>
  <si>
    <t>VILLA FRANCA</t>
  </si>
  <si>
    <t>LEARIG</t>
  </si>
  <si>
    <t>MULTIPLIER</t>
  </si>
  <si>
    <t>GRASMERE</t>
  </si>
  <si>
    <t>ZLine</t>
  </si>
  <si>
    <t>Tn70</t>
  </si>
  <si>
    <t>service target</t>
  </si>
  <si>
    <t>quality gilt selection</t>
  </si>
  <si>
    <t>10 week weight</t>
  </si>
  <si>
    <t>Birth weight</t>
  </si>
  <si>
    <t>wean weight</t>
  </si>
  <si>
    <t>DAM TSI</t>
  </si>
  <si>
    <t>Number of teats</t>
  </si>
  <si>
    <t>Body conformation</t>
  </si>
  <si>
    <t>10 week gilts</t>
  </si>
  <si>
    <t>ADG 4 - 10 week Avg</t>
  </si>
  <si>
    <t>10 week weight variation</t>
  </si>
  <si>
    <t>ADG 4 - 10 week variation</t>
  </si>
  <si>
    <t>16 week gilts</t>
  </si>
  <si>
    <t>Wean weight variation</t>
  </si>
  <si>
    <t>Avg weight of under target</t>
  </si>
  <si>
    <t>ADG of under target</t>
  </si>
  <si>
    <t>24 / 25 week old gilt</t>
  </si>
  <si>
    <t>16 week weight</t>
  </si>
  <si>
    <t>16 week weight variation</t>
  </si>
  <si>
    <t>ADG 10 - 16 week Avg</t>
  </si>
  <si>
    <t>ADG 10 - 16 week variation</t>
  </si>
  <si>
    <t>Number of gilts purchased</t>
  </si>
  <si>
    <t>25 week weight</t>
  </si>
  <si>
    <t>25 week weight variation</t>
  </si>
  <si>
    <t>ADG 16 - 25  week Avg</t>
  </si>
  <si>
    <t>ADG 16 to 25 week variation</t>
  </si>
  <si>
    <t>27 / 28 week old gilt</t>
  </si>
  <si>
    <t>28 week weight</t>
  </si>
  <si>
    <t>28 week weight variation</t>
  </si>
  <si>
    <t>ADG 25 - 28  week Avg</t>
  </si>
  <si>
    <t>ADG 25 - 28 week variation</t>
  </si>
  <si>
    <t>% gilts on heat by 28 weeks</t>
  </si>
  <si>
    <t>NOP gilt served from batch selected</t>
  </si>
  <si>
    <t>Gilt service target</t>
  </si>
  <si>
    <t>Gilt gain in gestation</t>
  </si>
  <si>
    <t>Gilt service line</t>
  </si>
  <si>
    <t>gilt service weight</t>
  </si>
  <si>
    <t>gilt service weight variation</t>
  </si>
  <si>
    <t>gilt service age</t>
  </si>
  <si>
    <t>gilt service age variation</t>
  </si>
  <si>
    <t>Gilt in gestation</t>
  </si>
  <si>
    <t xml:space="preserve"> Gilt Farrowing rate</t>
  </si>
  <si>
    <t>Gilt gain in gestation variation</t>
  </si>
  <si>
    <t>Gilt in Farrowing</t>
  </si>
  <si>
    <t>Gilt total Born</t>
  </si>
  <si>
    <t>Gilt BA</t>
  </si>
  <si>
    <t>Gilt BD</t>
  </si>
  <si>
    <t>Gilt mummies</t>
  </si>
  <si>
    <t>gilt into farrow weight</t>
  </si>
  <si>
    <t>gilt into farrow weight variation</t>
  </si>
  <si>
    <t>Gilt at weaning</t>
  </si>
  <si>
    <t>Gilt maternal body weight loss%</t>
  </si>
  <si>
    <t>Gilt maternal body weight loss % variation</t>
  </si>
  <si>
    <t>Avg Piglets weaned per gilt</t>
  </si>
  <si>
    <t>2nd parity service line</t>
  </si>
  <si>
    <t>2nd parity service target</t>
  </si>
  <si>
    <t>2nd parity service weight</t>
  </si>
  <si>
    <t>2nd parity service weight variation</t>
  </si>
  <si>
    <t>2nd parity gestation</t>
  </si>
  <si>
    <t>2nd parity farrow rate</t>
  </si>
  <si>
    <t>2nd parity gain in gestation</t>
  </si>
  <si>
    <t>2nd parity gain in gestation variation</t>
  </si>
  <si>
    <t>2nd parity in farrowing</t>
  </si>
  <si>
    <t>2nd parity TB</t>
  </si>
  <si>
    <t>2nd parity BA</t>
  </si>
  <si>
    <t>2nd Parity BD</t>
  </si>
  <si>
    <t>2nd parity mummies</t>
  </si>
  <si>
    <t>3rd parity plus grouped KPI</t>
  </si>
  <si>
    <t>3rd parity plus Farrow rate</t>
  </si>
  <si>
    <t>3rd parity plus TB</t>
  </si>
  <si>
    <t>3rd parity plus service target</t>
  </si>
  <si>
    <t>3rd parity plus BA</t>
  </si>
  <si>
    <t>3rd parity plus BD</t>
  </si>
  <si>
    <t>3rd parity plus mummies</t>
  </si>
  <si>
    <t>whole sow herd KPI's</t>
  </si>
  <si>
    <t>farrow rate</t>
  </si>
  <si>
    <t>Total born</t>
  </si>
  <si>
    <t>Born alive</t>
  </si>
  <si>
    <t xml:space="preserve">birth weight </t>
  </si>
  <si>
    <t>pre wean mortaltiy</t>
  </si>
  <si>
    <t>weaned per sow</t>
  </si>
  <si>
    <t>avg wean weight</t>
  </si>
  <si>
    <t>total litter mass</t>
  </si>
  <si>
    <t>Stand overs for the week</t>
  </si>
  <si>
    <t>empty days</t>
  </si>
  <si>
    <t>litter index</t>
  </si>
  <si>
    <t>boar doses per week</t>
  </si>
  <si>
    <t>weaned per sow per year</t>
  </si>
  <si>
    <t>weaner</t>
  </si>
  <si>
    <t xml:space="preserve">70 day weight </t>
  </si>
  <si>
    <t>70 day gain</t>
  </si>
  <si>
    <t>NOP sent to weaner against target</t>
  </si>
  <si>
    <t>ADG weaner</t>
  </si>
  <si>
    <t>weaner FCE</t>
  </si>
  <si>
    <t>weaner mortality</t>
  </si>
  <si>
    <t>Grower</t>
  </si>
  <si>
    <t>NOP sent to grower against target</t>
  </si>
  <si>
    <t>ADG grower</t>
  </si>
  <si>
    <t>FCE grower</t>
  </si>
  <si>
    <t>grower mortality</t>
  </si>
  <si>
    <t>total CDM to colcom against budget</t>
  </si>
  <si>
    <t>Avg CDM</t>
  </si>
  <si>
    <t>total pigs sold against budget</t>
  </si>
  <si>
    <t>kgs sold / sow / year</t>
  </si>
  <si>
    <t>chart</t>
  </si>
  <si>
    <t>8% - 12%</t>
  </si>
  <si>
    <t>BD</t>
  </si>
  <si>
    <t>mummies</t>
  </si>
  <si>
    <t>monthly input</t>
  </si>
  <si>
    <t>KPI</t>
  </si>
  <si>
    <t>ZLINE</t>
  </si>
  <si>
    <t>57-62</t>
  </si>
  <si>
    <t>N/A</t>
  </si>
  <si>
    <t>LH Extension</t>
  </si>
  <si>
    <t>Porta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</si>
</sst>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9" x14ac:knownFonts="1">
    <font>
      <sz val="11"/>
      <color theme="1"/>
      <name val="Aptos Narrow"/>
    </font>
    <font>
      <b/>
      <sz val="11"/>
      <color theme="1"/>
      <name val="Aptos Narrow"/>
      <family val="2"/>
    </font>
    <font>
      <sz val="11"/>
      <color theme="1"/>
      <name val="Aptos Narrow"/>
      <family val="2"/>
    </font>
    <font>
      <sz val="12"/>
      <color rgb="FF000000"/>
      <name val="Aptos Narrow"/>
      <family val="2"/>
    </font>
    <font>
      <sz val="10"/>
      <color rgb="FF000000"/>
      <name val="Aptos Narrow"/>
      <family val="2"/>
    </font>
    <font>
      <i/>
      <sz val="10"/>
      <color rgb="FF000000"/>
      <name val="Aptos Narrow"/>
      <family val="2"/>
    </font>
    <font>
      <sz val="11"/>
      <color theme="1"/>
      <name val="Aptos Narrow"/>
      <family val="2"/>
    </font>
    <font>
      <i/>
      <sz val="11"/>
      <color theme="1"/>
      <name val="Aptos Narrow"/>
      <family val="2"/>
    </font>
    <font>
      <i/>
      <sz val="11"/>
      <color rgb="FF000000"/>
      <name val="Aptos Narrow"/>
      <family val="2"/>
    </font>
  </fonts>
  <fills count="6">
    <fill>
      <patternFill patternType="none"/>
    </fill>
    <fill>
      <patternFill patternType="gray125"/>
    </fill>
    <fill>
      <patternFill patternType="solid">
        <fgColor theme="0"/>
      </patternFill>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s>
  <cellStyleXfs count="2">
    <xf numFmtId="0" fontId="0" fillId="0" borderId="0"/>
    <xf numFmtId="9" fontId="6" fillId="0" borderId="0" applyFont="0" applyFill="0" applyBorder="0" applyAlignment="0" applyProtection="0"/>
  </cellStyleXfs>
  <cellXfs count="90">
    <xf numFmtId="0" fontId="0" fillId="0" borderId="0" xfId="0"/>
    <xf numFmtId="0" fontId="0" fillId="0" borderId="1" xfId="0"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xf>
    <xf numFmtId="0" fontId="1" fillId="0" borderId="1" xfId="0" applyFont="1" applyBorder="1" applyAlignment="1">
      <alignment horizontal="center"/>
    </xf>
    <xf numFmtId="0" fontId="4" fillId="2" borderId="1" xfId="0" applyFont="1" applyFill="1" applyBorder="1" applyAlignment="1">
      <alignment horizontal="center"/>
    </xf>
    <xf numFmtId="0" fontId="5" fillId="2" borderId="1" xfId="0" applyFont="1" applyFill="1" applyBorder="1" applyAlignment="1">
      <alignment horizontal="center"/>
    </xf>
    <xf numFmtId="0" fontId="3" fillId="2" borderId="2" xfId="0" applyFont="1" applyFill="1" applyBorder="1" applyAlignment="1">
      <alignment horizontal="center"/>
    </xf>
    <xf numFmtId="0" fontId="5" fillId="2" borderId="3" xfId="0" applyFont="1" applyFill="1" applyBorder="1" applyAlignment="1">
      <alignment horizontal="center"/>
    </xf>
    <xf numFmtId="0" fontId="3" fillId="2" borderId="4" xfId="0" applyFont="1" applyFill="1" applyBorder="1" applyAlignment="1">
      <alignment horizontal="center"/>
    </xf>
    <xf numFmtId="0" fontId="5" fillId="2" borderId="5" xfId="0" applyFont="1" applyFill="1" applyBorder="1" applyAlignment="1">
      <alignment horizontal="center"/>
    </xf>
    <xf numFmtId="0" fontId="3" fillId="2" borderId="7" xfId="0" applyFont="1" applyFill="1" applyBorder="1" applyAlignment="1">
      <alignment horizontal="center"/>
    </xf>
    <xf numFmtId="0" fontId="3" fillId="2" borderId="9" xfId="0" applyFont="1" applyFill="1" applyBorder="1" applyAlignment="1">
      <alignment horizontal="center"/>
    </xf>
    <xf numFmtId="0" fontId="5" fillId="2" borderId="10" xfId="0" applyFont="1" applyFill="1" applyBorder="1" applyAlignment="1">
      <alignment horizontal="center"/>
    </xf>
    <xf numFmtId="0" fontId="5" fillId="2" borderId="11" xfId="0" applyFont="1" applyFill="1" applyBorder="1" applyAlignment="1">
      <alignment horizontal="center"/>
    </xf>
    <xf numFmtId="0" fontId="3" fillId="2" borderId="12" xfId="0" applyFont="1" applyFill="1" applyBorder="1" applyAlignment="1">
      <alignment horizontal="center"/>
    </xf>
    <xf numFmtId="0" fontId="5" fillId="2" borderId="2" xfId="0" applyFont="1" applyFill="1" applyBorder="1" applyAlignment="1">
      <alignment horizontal="center"/>
    </xf>
    <xf numFmtId="0" fontId="3" fillId="2" borderId="13" xfId="0" applyFont="1" applyFill="1" applyBorder="1" applyAlignment="1">
      <alignment horizontal="center"/>
    </xf>
    <xf numFmtId="0" fontId="3" fillId="2" borderId="14" xfId="0" applyFont="1" applyFill="1" applyBorder="1" applyAlignment="1">
      <alignment horizontal="center"/>
    </xf>
    <xf numFmtId="0" fontId="5" fillId="2" borderId="15" xfId="0" applyFont="1" applyFill="1" applyBorder="1" applyAlignment="1">
      <alignment horizontal="center"/>
    </xf>
    <xf numFmtId="0" fontId="4" fillId="2" borderId="5" xfId="0" applyFont="1" applyFill="1" applyBorder="1" applyAlignment="1">
      <alignment horizontal="center"/>
    </xf>
    <xf numFmtId="0" fontId="3" fillId="2" borderId="16" xfId="0" applyFont="1" applyFill="1" applyBorder="1" applyAlignment="1">
      <alignment horizontal="center"/>
    </xf>
    <xf numFmtId="0" fontId="0" fillId="0" borderId="7" xfId="0" applyBorder="1"/>
    <xf numFmtId="0" fontId="3" fillId="2" borderId="10" xfId="0" applyFont="1" applyFill="1"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0" fontId="7" fillId="0" borderId="1" xfId="0" applyFont="1" applyBorder="1" applyAlignment="1">
      <alignment horizontal="center"/>
    </xf>
    <xf numFmtId="0" fontId="7" fillId="0" borderId="1" xfId="0" applyFont="1" applyBorder="1" applyAlignment="1">
      <alignment horizontal="center" vertical="center"/>
    </xf>
    <xf numFmtId="9" fontId="7" fillId="0" borderId="2" xfId="0" applyNumberFormat="1" applyFont="1" applyBorder="1" applyAlignment="1">
      <alignment horizontal="center"/>
    </xf>
    <xf numFmtId="10" fontId="7" fillId="0" borderId="2" xfId="0" applyNumberFormat="1" applyFont="1" applyBorder="1" applyAlignment="1">
      <alignment horizontal="center"/>
    </xf>
    <xf numFmtId="10" fontId="7" fillId="0" borderId="2" xfId="0" applyNumberFormat="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xf>
    <xf numFmtId="0" fontId="2" fillId="0" borderId="2" xfId="0" applyFont="1" applyBorder="1" applyAlignment="1">
      <alignment horizontal="center" vertical="center"/>
    </xf>
    <xf numFmtId="0" fontId="2" fillId="0" borderId="5" xfId="0" applyFont="1" applyBorder="1" applyAlignment="1">
      <alignment horizontal="center"/>
    </xf>
    <xf numFmtId="0" fontId="2" fillId="0" borderId="5" xfId="0" applyFont="1" applyBorder="1" applyAlignment="1">
      <alignment horizontal="center" vertical="center"/>
    </xf>
    <xf numFmtId="0" fontId="2" fillId="0" borderId="6" xfId="0" applyFont="1" applyBorder="1" applyAlignment="1">
      <alignment horizontal="center"/>
    </xf>
    <xf numFmtId="0" fontId="2" fillId="0" borderId="8" xfId="0" applyFont="1" applyBorder="1" applyAlignment="1">
      <alignment horizontal="center"/>
    </xf>
    <xf numFmtId="0" fontId="8" fillId="2" borderId="1" xfId="0" applyFont="1" applyFill="1" applyBorder="1" applyAlignment="1">
      <alignment horizontal="center"/>
    </xf>
    <xf numFmtId="0" fontId="2" fillId="0" borderId="10" xfId="0" applyFont="1" applyBorder="1" applyAlignment="1">
      <alignment horizontal="center"/>
    </xf>
    <xf numFmtId="0" fontId="2" fillId="0" borderId="3" xfId="0" applyFont="1" applyBorder="1" applyAlignment="1">
      <alignment horizontal="center"/>
    </xf>
    <xf numFmtId="0" fontId="2" fillId="0" borderId="3" xfId="0" applyFont="1" applyBorder="1" applyAlignment="1">
      <alignment horizontal="center" vertical="center"/>
    </xf>
    <xf numFmtId="164" fontId="8" fillId="3" borderId="1" xfId="0" applyNumberFormat="1" applyFont="1" applyFill="1" applyBorder="1" applyAlignment="1">
      <alignment horizontal="center"/>
    </xf>
    <xf numFmtId="164" fontId="8" fillId="5" borderId="1" xfId="0" applyNumberFormat="1" applyFont="1" applyFill="1" applyBorder="1" applyAlignment="1">
      <alignment horizontal="center"/>
    </xf>
    <xf numFmtId="0" fontId="2" fillId="0" borderId="10" xfId="0" applyFont="1" applyBorder="1" applyAlignment="1">
      <alignment horizontal="center" vertical="center"/>
    </xf>
    <xf numFmtId="164" fontId="8" fillId="3" borderId="2" xfId="0" applyNumberFormat="1" applyFont="1" applyFill="1" applyBorder="1" applyAlignment="1">
      <alignment horizontal="center"/>
    </xf>
    <xf numFmtId="164" fontId="8" fillId="5" borderId="2" xfId="0" applyNumberFormat="1" applyFont="1" applyFill="1" applyBorder="1" applyAlignment="1">
      <alignment horizontal="center"/>
    </xf>
    <xf numFmtId="9" fontId="2" fillId="0" borderId="1" xfId="0" applyNumberFormat="1" applyFont="1" applyBorder="1" applyAlignment="1">
      <alignment horizontal="center"/>
    </xf>
    <xf numFmtId="0" fontId="8" fillId="3" borderId="10" xfId="0" applyFont="1" applyFill="1" applyBorder="1" applyAlignment="1">
      <alignment horizontal="center"/>
    </xf>
    <xf numFmtId="0" fontId="8" fillId="5" borderId="10" xfId="0" applyFont="1" applyFill="1" applyBorder="1" applyAlignment="1">
      <alignment horizontal="center"/>
    </xf>
    <xf numFmtId="0" fontId="8" fillId="2" borderId="15" xfId="0" applyFont="1" applyFill="1" applyBorder="1" applyAlignment="1">
      <alignment horizontal="center"/>
    </xf>
    <xf numFmtId="9" fontId="2" fillId="0" borderId="5" xfId="0" applyNumberFormat="1" applyFont="1" applyBorder="1" applyAlignment="1">
      <alignment horizontal="center"/>
    </xf>
    <xf numFmtId="9" fontId="2" fillId="0" borderId="5" xfId="1" applyFont="1" applyBorder="1" applyAlignment="1">
      <alignment horizontal="center"/>
    </xf>
    <xf numFmtId="9" fontId="2" fillId="0" borderId="5" xfId="0" applyNumberFormat="1" applyFont="1" applyBorder="1" applyAlignment="1">
      <alignment horizontal="center" vertical="center"/>
    </xf>
    <xf numFmtId="0" fontId="8" fillId="3" borderId="3" xfId="0" applyFont="1" applyFill="1" applyBorder="1" applyAlignment="1">
      <alignment horizontal="center"/>
    </xf>
    <xf numFmtId="0" fontId="8" fillId="5" borderId="3" xfId="0" applyFont="1" applyFill="1" applyBorder="1" applyAlignment="1">
      <alignment horizontal="center"/>
    </xf>
    <xf numFmtId="0" fontId="2" fillId="0" borderId="15" xfId="0" applyFont="1" applyBorder="1" applyAlignment="1">
      <alignment horizontal="center"/>
    </xf>
    <xf numFmtId="0" fontId="8" fillId="3" borderId="5" xfId="0" applyFont="1" applyFill="1" applyBorder="1" applyAlignment="1">
      <alignment horizontal="center"/>
    </xf>
    <xf numFmtId="0" fontId="8" fillId="5" borderId="5" xfId="0" applyFont="1" applyFill="1" applyBorder="1" applyAlignment="1">
      <alignment horizontal="center"/>
    </xf>
    <xf numFmtId="0" fontId="8" fillId="2" borderId="3" xfId="0" applyFont="1" applyFill="1" applyBorder="1" applyAlignment="1">
      <alignment horizontal="center"/>
    </xf>
    <xf numFmtId="0" fontId="8" fillId="0" borderId="5" xfId="0" applyFont="1" applyBorder="1" applyAlignment="1">
      <alignment horizontal="center"/>
    </xf>
    <xf numFmtId="0" fontId="8" fillId="2" borderId="5" xfId="0" applyFont="1" applyFill="1" applyBorder="1" applyAlignment="1">
      <alignment horizontal="center" vertical="center"/>
    </xf>
    <xf numFmtId="0" fontId="8" fillId="3" borderId="11" xfId="0" applyFont="1" applyFill="1" applyBorder="1" applyAlignment="1">
      <alignment horizontal="center"/>
    </xf>
    <xf numFmtId="0" fontId="8" fillId="5" borderId="11" xfId="0" applyFont="1" applyFill="1" applyBorder="1" applyAlignment="1">
      <alignment horizontal="center"/>
    </xf>
    <xf numFmtId="165" fontId="8" fillId="4" borderId="5" xfId="0" applyNumberFormat="1" applyFont="1" applyFill="1" applyBorder="1" applyAlignment="1">
      <alignment horizontal="center"/>
    </xf>
    <xf numFmtId="1" fontId="8" fillId="5" borderId="5" xfId="0" applyNumberFormat="1" applyFont="1" applyFill="1" applyBorder="1" applyAlignment="1">
      <alignment horizontal="center"/>
    </xf>
    <xf numFmtId="1" fontId="8" fillId="3" borderId="1" xfId="0" applyNumberFormat="1" applyFont="1" applyFill="1" applyBorder="1" applyAlignment="1">
      <alignment horizontal="center"/>
    </xf>
    <xf numFmtId="1" fontId="8" fillId="5" borderId="1" xfId="0" applyNumberFormat="1" applyFont="1" applyFill="1" applyBorder="1" applyAlignment="1">
      <alignment horizontal="center"/>
    </xf>
    <xf numFmtId="0" fontId="2" fillId="5" borderId="10" xfId="0" applyFont="1" applyFill="1" applyBorder="1" applyAlignment="1">
      <alignment horizontal="center"/>
    </xf>
    <xf numFmtId="165" fontId="8" fillId="3" borderId="5" xfId="0" applyNumberFormat="1" applyFont="1" applyFill="1" applyBorder="1" applyAlignment="1">
      <alignment horizontal="center"/>
    </xf>
    <xf numFmtId="165" fontId="8" fillId="5" borderId="5" xfId="0" applyNumberFormat="1" applyFont="1" applyFill="1" applyBorder="1" applyAlignment="1">
      <alignment horizontal="center"/>
    </xf>
    <xf numFmtId="9" fontId="2" fillId="0" borderId="1" xfId="1" applyFont="1" applyBorder="1" applyAlignment="1">
      <alignment horizontal="center"/>
    </xf>
    <xf numFmtId="9" fontId="2" fillId="0" borderId="1" xfId="0" applyNumberFormat="1" applyFont="1" applyBorder="1" applyAlignment="1">
      <alignment horizontal="center" vertical="center"/>
    </xf>
    <xf numFmtId="0" fontId="8" fillId="3" borderId="1" xfId="0" applyFont="1" applyFill="1" applyBorder="1" applyAlignment="1">
      <alignment horizontal="center"/>
    </xf>
    <xf numFmtId="0" fontId="8" fillId="5" borderId="1" xfId="0" applyFont="1" applyFill="1" applyBorder="1" applyAlignment="1">
      <alignment horizontal="center"/>
    </xf>
    <xf numFmtId="9" fontId="2" fillId="0" borderId="3" xfId="0" applyNumberFormat="1" applyFont="1" applyBorder="1" applyAlignment="1">
      <alignment horizontal="center"/>
    </xf>
    <xf numFmtId="9" fontId="2" fillId="0" borderId="3" xfId="1" applyFont="1" applyBorder="1" applyAlignment="1">
      <alignment horizontal="center"/>
    </xf>
    <xf numFmtId="9" fontId="2" fillId="0" borderId="3" xfId="0" applyNumberFormat="1" applyFont="1" applyBorder="1" applyAlignment="1">
      <alignment horizontal="center" vertical="center"/>
    </xf>
    <xf numFmtId="165" fontId="8" fillId="3" borderId="3" xfId="0" applyNumberFormat="1" applyFont="1" applyFill="1" applyBorder="1" applyAlignment="1">
      <alignment horizontal="center"/>
    </xf>
    <xf numFmtId="166" fontId="2" fillId="0" borderId="1" xfId="0" applyNumberFormat="1" applyFont="1" applyBorder="1" applyAlignment="1">
      <alignment horizontal="center"/>
    </xf>
    <xf numFmtId="10" fontId="2" fillId="0" borderId="1" xfId="0" applyNumberFormat="1" applyFont="1" applyBorder="1" applyAlignment="1">
      <alignment horizontal="center"/>
    </xf>
    <xf numFmtId="165" fontId="7" fillId="3" borderId="0" xfId="0" applyNumberFormat="1" applyFont="1" applyFill="1" applyAlignment="1">
      <alignment horizontal="center"/>
    </xf>
    <xf numFmtId="165" fontId="7" fillId="5" borderId="0" xfId="0" applyNumberFormat="1" applyFont="1" applyFill="1" applyAlignment="1">
      <alignment horizontal="center"/>
    </xf>
    <xf numFmtId="165" fontId="8" fillId="3" borderId="1" xfId="0" applyNumberFormat="1" applyFont="1" applyFill="1" applyBorder="1" applyAlignment="1">
      <alignment horizontal="center"/>
    </xf>
    <xf numFmtId="165" fontId="8" fillId="5" borderId="1" xfId="0" applyNumberFormat="1" applyFont="1" applyFill="1" applyBorder="1" applyAlignment="1">
      <alignment horizontal="center"/>
    </xf>
    <xf numFmtId="1" fontId="8" fillId="3" borderId="2" xfId="0" applyNumberFormat="1" applyFont="1" applyFill="1" applyBorder="1" applyAlignment="1">
      <alignment horizontal="center"/>
    </xf>
    <xf numFmtId="1" fontId="8" fillId="5" borderId="2" xfId="0" applyNumberFormat="1" applyFont="1" applyFill="1" applyBorder="1" applyAlignment="1">
      <alignment horizontal="center"/>
    </xf>
    <xf numFmtId="1" fontId="2" fillId="0" borderId="5" xfId="0" applyNumberFormat="1" applyFont="1" applyBorder="1" applyAlignment="1">
      <alignment horizontal="center"/>
    </xf>
    <xf numFmtId="1" fontId="2" fillId="0" borderId="10" xfId="0" applyNumberFormat="1" applyFont="1" applyBorder="1" applyAlignment="1">
      <alignment horizontal="center"/>
    </xf>
    <xf numFmtId="0" fontId="1" fillId="0" borderId="1"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Johan Odendaal" id="{CFA2D1C8-0363-46C4-B9B6-C831D94EEA32}" userId="S::johan@grasmere.co.zw::ac39a918-291c-46e8-a600-fc419628707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0" dT="2026-09-08T09:21:10.53" personId="{CFA2D1C8-0363-46C4-B9B6-C831D94EEA32}" id="{9C7D58F1-07BE-44A2-9682-CAAA6E447E98}">
    <text>Note that this is an internal scoring system based on a visual check - 1 being poor and 5 being good</text>
  </threadedComment>
  <threadedComment ref="A25" dT="2026-09-08T08:36:10.32" personId="{CFA2D1C8-0363-46C4-B9B6-C831D94EEA32}" id="{33DF2401-0BAE-431A-A530-4BBB4650F2FD}">
    <text>Note Porta on 24 weeks</text>
  </threadedComment>
  <threadedComment ref="A31" dT="2026-09-08T08:38:21.25" personId="{CFA2D1C8-0363-46C4-B9B6-C831D94EEA32}" id="{7E8E7C34-D148-4A41-B5DB-04FD4577B503}">
    <text>Note Porta on 27 weeks</text>
  </threadedComment>
  <threadedComment ref="B38" dT="2026-09-08T08:41:53.35" personId="{CFA2D1C8-0363-46C4-B9B6-C831D94EEA32}" id="{AE84F793-D4CC-4826-AECD-BC1D39C8AF6D}">
    <text xml:space="preserve">Because the pigs go to service line at different ages, the batch breaks apart. We still need to know of the batch when all have been cleared out, how many were served against the original 10 week purchase </text>
  </threadedComment>
  <threadedComment ref="C40" dT="2026-09-09T14:38:12.84" personId="{CFA2D1C8-0363-46C4-B9B6-C831D94EEA32}" id="{1DE0FF79-4E2A-4109-BB94-6CF8D47D9025}">
    <text>Gilt service weight aiming for into farrow weight of 245kgs, we want to have an alert to indicate how much gain it does need so it can be related back to how much to feed the animal</text>
  </threadedComment>
  <threadedComment ref="C57" dT="2026-09-09T14:38:12.84" personId="{CFA2D1C8-0363-46C4-B9B6-C831D94EEA32}" id="{3C7F9E2E-2BB1-4D21-95FC-04161DE37207}">
    <text>Gilt service weight aiming for into farrow weight of 245kgs, we want to have an alert to indicate how much gain it does need so it can be related back to how much to feed the animal</text>
  </threadedComment>
  <threadedComment ref="A72" dT="2026-09-08T08:58:11.73" personId="{CFA2D1C8-0363-46C4-B9B6-C831D94EEA32}" id="{516E81AA-EAEE-416A-AFEC-AD51FF714936}">
    <text>Includes gilts, 2nds and 3rd parity plus</text>
  </threadedComment>
  <threadedComment ref="B88" dT="2026-09-08T09:08:25.30" personId="{CFA2D1C8-0363-46C4-B9B6-C831D94EEA32}" id="{8B06A332-DF8C-4217-8724-7ECFC6CC9598}">
    <text>Include what was sent to other farms ie: Learig as links to total animals weaned target</text>
  </threadedComment>
  <threadedComment ref="B94" dT="2026-09-08T09:16:10.65" personId="{CFA2D1C8-0363-46C4-B9B6-C831D94EEA32}" id="{9D6066C5-1D36-481C-A1B1-0E7D5DEDCB2F}">
    <text>This should not include anything sent out to other farms - only grower numbers captured against pigs to colcom target - on entry to grower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zoomScale="114" zoomScaleNormal="100" workbookViewId="0">
      <pane xSplit="2" ySplit="3" topLeftCell="D61" activePane="bottomRight" state="frozen"/>
      <selection pane="topRight" activeCell="C1" sqref="C1"/>
      <selection pane="bottomLeft" activeCell="A4" sqref="A4"/>
      <selection pane="bottomRight" activeCell="E65" sqref="E65"/>
    </sheetView>
  </sheetViews>
  <sheetFormatPr defaultRowHeight="14.4" x14ac:dyDescent="0.3"/>
  <cols>
    <col min="1" max="1" width="25.33203125" customWidth="1"/>
    <col min="2" max="2" width="32.88671875" bestFit="1" customWidth="1"/>
    <col min="3" max="3" width="13.33203125" style="24" customWidth="1"/>
    <col min="4" max="4" width="12.44140625" customWidth="1"/>
    <col min="5" max="6" width="19.44140625" customWidth="1"/>
    <col min="7" max="7" width="13.88671875" bestFit="1" customWidth="1"/>
    <col min="8" max="8" width="13.33203125" bestFit="1" customWidth="1"/>
    <col min="9" max="9" width="20.44140625" customWidth="1"/>
    <col min="10" max="10" width="19" customWidth="1"/>
    <col min="11" max="11" width="13.33203125" bestFit="1" customWidth="1"/>
  </cols>
  <sheetData>
    <row r="1" spans="1:11" x14ac:dyDescent="0.3">
      <c r="A1" s="1"/>
      <c r="B1" s="1"/>
      <c r="C1" s="89" t="s">
        <v>0</v>
      </c>
      <c r="D1" s="89"/>
      <c r="E1" s="89"/>
      <c r="F1" s="89"/>
      <c r="G1" s="89"/>
      <c r="H1" s="89"/>
      <c r="I1" s="89"/>
      <c r="J1" s="89"/>
    </row>
    <row r="2" spans="1:11" x14ac:dyDescent="0.3">
      <c r="A2" s="1"/>
      <c r="B2" s="1"/>
      <c r="C2" s="4" t="s">
        <v>1</v>
      </c>
      <c r="D2" s="4" t="s">
        <v>2</v>
      </c>
      <c r="E2" s="4" t="s">
        <v>3</v>
      </c>
      <c r="F2" s="4" t="s">
        <v>123</v>
      </c>
      <c r="G2" s="4" t="s">
        <v>4</v>
      </c>
      <c r="H2" s="4" t="s">
        <v>5</v>
      </c>
      <c r="I2" s="25" t="s">
        <v>6</v>
      </c>
      <c r="J2" s="4" t="s">
        <v>7</v>
      </c>
      <c r="K2" s="4" t="s">
        <v>124</v>
      </c>
    </row>
    <row r="3" spans="1:11" x14ac:dyDescent="0.3">
      <c r="A3" s="4" t="s">
        <v>119</v>
      </c>
      <c r="B3" s="2"/>
      <c r="C3" s="2"/>
      <c r="D3" s="2"/>
      <c r="E3" s="2"/>
      <c r="F3" s="2"/>
      <c r="G3" s="2"/>
      <c r="H3" s="2"/>
      <c r="I3" s="31"/>
      <c r="J3" s="2"/>
      <c r="K3" s="2"/>
    </row>
    <row r="4" spans="1:11" ht="15.6" x14ac:dyDescent="0.3">
      <c r="A4" s="3" t="s">
        <v>8</v>
      </c>
      <c r="B4" s="3"/>
      <c r="C4" s="2"/>
      <c r="D4" s="2"/>
      <c r="E4" s="2"/>
      <c r="F4" s="2"/>
      <c r="G4" s="2"/>
      <c r="H4" s="2"/>
      <c r="I4" s="31" t="s">
        <v>120</v>
      </c>
      <c r="J4" s="2"/>
      <c r="K4" s="2"/>
    </row>
    <row r="5" spans="1:11" ht="16.2" thickBot="1" x14ac:dyDescent="0.35">
      <c r="A5" s="7" t="s">
        <v>9</v>
      </c>
      <c r="B5" s="7"/>
      <c r="C5" s="32"/>
      <c r="D5" s="32"/>
      <c r="E5" s="32"/>
      <c r="F5" s="32"/>
      <c r="G5" s="32"/>
      <c r="H5" s="32"/>
      <c r="I5" s="33"/>
      <c r="J5" s="32"/>
      <c r="K5" s="32"/>
    </row>
    <row r="6" spans="1:11" ht="15.6" x14ac:dyDescent="0.3">
      <c r="A6" s="9" t="s">
        <v>11</v>
      </c>
      <c r="B6" s="10" t="s">
        <v>13</v>
      </c>
      <c r="C6" s="34">
        <v>1.5</v>
      </c>
      <c r="D6" s="34">
        <v>1.5</v>
      </c>
      <c r="E6" s="34">
        <v>1.5</v>
      </c>
      <c r="F6" s="34"/>
      <c r="G6" s="34">
        <v>1.3</v>
      </c>
      <c r="H6" s="34"/>
      <c r="I6" s="35">
        <v>1.2</v>
      </c>
      <c r="J6" s="36">
        <v>1.3</v>
      </c>
      <c r="K6" s="34"/>
    </row>
    <row r="7" spans="1:11" ht="15.6" x14ac:dyDescent="0.3">
      <c r="A7" s="11"/>
      <c r="B7" s="6" t="s">
        <v>14</v>
      </c>
      <c r="C7" s="2">
        <v>8</v>
      </c>
      <c r="D7" s="2">
        <v>8</v>
      </c>
      <c r="E7" s="2">
        <v>8</v>
      </c>
      <c r="F7" s="2"/>
      <c r="G7" s="2">
        <v>7.5</v>
      </c>
      <c r="H7" s="2"/>
      <c r="I7" s="31">
        <v>8</v>
      </c>
      <c r="J7" s="37">
        <v>7.2</v>
      </c>
      <c r="K7" s="2"/>
    </row>
    <row r="8" spans="1:11" ht="15.6" x14ac:dyDescent="0.3">
      <c r="A8" s="11"/>
      <c r="B8" s="6" t="s">
        <v>15</v>
      </c>
      <c r="C8" s="2">
        <v>100</v>
      </c>
      <c r="D8" s="2">
        <v>100</v>
      </c>
      <c r="E8" s="2">
        <v>100</v>
      </c>
      <c r="F8" s="2"/>
      <c r="G8" s="2">
        <v>100</v>
      </c>
      <c r="H8" s="2"/>
      <c r="I8" s="31">
        <v>120</v>
      </c>
      <c r="J8" s="37">
        <v>100</v>
      </c>
      <c r="K8" s="2"/>
    </row>
    <row r="9" spans="1:11" ht="15.6" x14ac:dyDescent="0.3">
      <c r="A9" s="11"/>
      <c r="B9" s="6" t="s">
        <v>16</v>
      </c>
      <c r="C9" s="2">
        <v>16</v>
      </c>
      <c r="D9" s="2">
        <v>16</v>
      </c>
      <c r="E9" s="2">
        <v>16</v>
      </c>
      <c r="F9" s="2"/>
      <c r="G9" s="2">
        <v>16</v>
      </c>
      <c r="H9" s="2"/>
      <c r="I9" s="31">
        <v>16</v>
      </c>
      <c r="J9" s="37">
        <v>16</v>
      </c>
      <c r="K9" s="2"/>
    </row>
    <row r="10" spans="1:11" ht="15.6" x14ac:dyDescent="0.3">
      <c r="A10" s="11"/>
      <c r="B10" s="6" t="s">
        <v>17</v>
      </c>
      <c r="C10" s="38">
        <v>5</v>
      </c>
      <c r="D10" s="2">
        <v>5</v>
      </c>
      <c r="E10" s="2">
        <v>5</v>
      </c>
      <c r="F10" s="2"/>
      <c r="G10" s="2">
        <v>5</v>
      </c>
      <c r="H10" s="2"/>
      <c r="I10" s="31">
        <v>5</v>
      </c>
      <c r="J10" s="37">
        <v>5</v>
      </c>
      <c r="K10" s="2"/>
    </row>
    <row r="11" spans="1:11" ht="16.2" thickBot="1" x14ac:dyDescent="0.35">
      <c r="A11" s="12"/>
      <c r="B11" s="13" t="s">
        <v>23</v>
      </c>
      <c r="C11" s="39" t="s">
        <v>114</v>
      </c>
      <c r="D11" s="39" t="s">
        <v>114</v>
      </c>
      <c r="E11" s="39" t="s">
        <v>114</v>
      </c>
      <c r="F11" s="39"/>
      <c r="G11" s="39" t="s">
        <v>114</v>
      </c>
      <c r="H11" s="39"/>
      <c r="I11" s="39" t="s">
        <v>114</v>
      </c>
      <c r="J11" s="39" t="s">
        <v>114</v>
      </c>
      <c r="K11" s="39"/>
    </row>
    <row r="12" spans="1:11" ht="15.6" x14ac:dyDescent="0.3">
      <c r="A12" s="17" t="s">
        <v>18</v>
      </c>
      <c r="B12" s="8" t="s">
        <v>12</v>
      </c>
      <c r="C12" s="40">
        <v>28</v>
      </c>
      <c r="D12" s="40">
        <v>28</v>
      </c>
      <c r="E12" s="40">
        <v>28</v>
      </c>
      <c r="F12" s="40"/>
      <c r="G12" s="40">
        <v>28</v>
      </c>
      <c r="H12" s="40"/>
      <c r="I12" s="41">
        <v>28</v>
      </c>
      <c r="J12" s="40">
        <v>28</v>
      </c>
      <c r="K12" s="40"/>
    </row>
    <row r="13" spans="1:11" ht="15.6" x14ac:dyDescent="0.3">
      <c r="A13" s="11"/>
      <c r="B13" s="6" t="s">
        <v>20</v>
      </c>
      <c r="C13" s="2" t="s">
        <v>114</v>
      </c>
      <c r="D13" s="2" t="s">
        <v>114</v>
      </c>
      <c r="E13" s="2" t="s">
        <v>114</v>
      </c>
      <c r="F13" s="2"/>
      <c r="G13" s="2" t="s">
        <v>114</v>
      </c>
      <c r="H13" s="2"/>
      <c r="I13" s="2" t="s">
        <v>114</v>
      </c>
      <c r="J13" s="2" t="s">
        <v>114</v>
      </c>
      <c r="K13" s="2"/>
    </row>
    <row r="14" spans="1:11" ht="15.6" x14ac:dyDescent="0.3">
      <c r="A14" s="11"/>
      <c r="B14" s="6" t="s">
        <v>19</v>
      </c>
      <c r="C14" s="42">
        <f t="shared" ref="C14:J14" si="0">(C12-C7)/38</f>
        <v>0.52631578947368418</v>
      </c>
      <c r="D14" s="42">
        <f t="shared" si="0"/>
        <v>0.52631578947368418</v>
      </c>
      <c r="E14" s="42">
        <f t="shared" si="0"/>
        <v>0.52631578947368418</v>
      </c>
      <c r="F14" s="43"/>
      <c r="G14" s="42">
        <f t="shared" si="0"/>
        <v>0.53947368421052633</v>
      </c>
      <c r="H14" s="43"/>
      <c r="I14" s="42">
        <f t="shared" si="0"/>
        <v>0.52631578947368418</v>
      </c>
      <c r="J14" s="42">
        <f t="shared" si="0"/>
        <v>0.54736842105263162</v>
      </c>
      <c r="K14" s="43"/>
    </row>
    <row r="15" spans="1:11" ht="15.6" x14ac:dyDescent="0.3">
      <c r="A15" s="11"/>
      <c r="B15" s="6" t="s">
        <v>21</v>
      </c>
      <c r="C15" s="2" t="s">
        <v>114</v>
      </c>
      <c r="D15" s="2" t="s">
        <v>114</v>
      </c>
      <c r="E15" s="2" t="s">
        <v>114</v>
      </c>
      <c r="F15" s="2"/>
      <c r="G15" s="2" t="s">
        <v>114</v>
      </c>
      <c r="H15" s="2"/>
      <c r="I15" s="2" t="s">
        <v>114</v>
      </c>
      <c r="J15" s="2" t="s">
        <v>114</v>
      </c>
      <c r="K15" s="2"/>
    </row>
    <row r="16" spans="1:11" ht="15.6" x14ac:dyDescent="0.3">
      <c r="A16" s="15"/>
      <c r="B16" s="16" t="s">
        <v>24</v>
      </c>
      <c r="C16" s="32">
        <v>27</v>
      </c>
      <c r="D16" s="32">
        <v>27</v>
      </c>
      <c r="E16" s="32">
        <v>27</v>
      </c>
      <c r="F16" s="32"/>
      <c r="G16" s="32">
        <v>27</v>
      </c>
      <c r="H16" s="32"/>
      <c r="I16" s="33">
        <v>27</v>
      </c>
      <c r="J16" s="32">
        <v>27</v>
      </c>
      <c r="K16" s="32"/>
    </row>
    <row r="17" spans="1:11" ht="15.6" x14ac:dyDescent="0.3">
      <c r="A17" s="15"/>
      <c r="B17" s="16" t="s">
        <v>25</v>
      </c>
      <c r="C17" s="32">
        <v>0.505</v>
      </c>
      <c r="D17" s="32">
        <v>0.505</v>
      </c>
      <c r="E17" s="32">
        <v>0.505</v>
      </c>
      <c r="F17" s="32"/>
      <c r="G17" s="32">
        <v>0.54800000000000004</v>
      </c>
      <c r="H17" s="32"/>
      <c r="I17" s="33">
        <v>0.55000000000000004</v>
      </c>
      <c r="J17" s="32">
        <v>0.53100000000000003</v>
      </c>
      <c r="K17" s="32"/>
    </row>
    <row r="18" spans="1:11" ht="16.2" thickBot="1" x14ac:dyDescent="0.35">
      <c r="A18" s="12"/>
      <c r="B18" s="13" t="s">
        <v>31</v>
      </c>
      <c r="C18" s="39">
        <v>12</v>
      </c>
      <c r="D18" s="39">
        <v>13</v>
      </c>
      <c r="E18" s="39">
        <v>12</v>
      </c>
      <c r="F18" s="39"/>
      <c r="G18" s="39">
        <v>5</v>
      </c>
      <c r="H18" s="39"/>
      <c r="I18" s="44">
        <v>4</v>
      </c>
      <c r="J18" s="39">
        <v>23</v>
      </c>
      <c r="K18" s="39"/>
    </row>
    <row r="19" spans="1:11" ht="15.6" x14ac:dyDescent="0.3">
      <c r="A19" s="9" t="s">
        <v>22</v>
      </c>
      <c r="B19" s="10" t="s">
        <v>27</v>
      </c>
      <c r="C19" s="34">
        <v>68</v>
      </c>
      <c r="D19" s="34">
        <v>68</v>
      </c>
      <c r="E19" s="34">
        <v>68</v>
      </c>
      <c r="F19" s="34"/>
      <c r="G19" s="34">
        <v>68</v>
      </c>
      <c r="H19" s="34"/>
      <c r="I19" s="35">
        <v>59</v>
      </c>
      <c r="J19" s="34">
        <v>68</v>
      </c>
      <c r="K19" s="34"/>
    </row>
    <row r="20" spans="1:11" ht="15.6" x14ac:dyDescent="0.3">
      <c r="A20" s="11"/>
      <c r="B20" s="6" t="s">
        <v>28</v>
      </c>
      <c r="C20" s="2" t="s">
        <v>114</v>
      </c>
      <c r="D20" s="2"/>
      <c r="E20" s="2"/>
      <c r="F20" s="2"/>
      <c r="G20" s="2" t="s">
        <v>114</v>
      </c>
      <c r="H20" s="2"/>
      <c r="I20" s="31" t="s">
        <v>121</v>
      </c>
      <c r="J20" s="2"/>
      <c r="K20" s="2"/>
    </row>
    <row r="21" spans="1:11" ht="15.6" x14ac:dyDescent="0.3">
      <c r="A21" s="11"/>
      <c r="B21" s="6" t="s">
        <v>29</v>
      </c>
      <c r="C21" s="42">
        <f t="shared" ref="C21:J21" si="1">(C19-C12)/42</f>
        <v>0.95238095238095233</v>
      </c>
      <c r="D21" s="42">
        <f t="shared" si="1"/>
        <v>0.95238095238095233</v>
      </c>
      <c r="E21" s="42">
        <f t="shared" si="1"/>
        <v>0.95238095238095233</v>
      </c>
      <c r="F21" s="43"/>
      <c r="G21" s="42">
        <f t="shared" si="1"/>
        <v>0.95238095238095233</v>
      </c>
      <c r="H21" s="43"/>
      <c r="I21" s="42">
        <f t="shared" si="1"/>
        <v>0.73809523809523814</v>
      </c>
      <c r="J21" s="42">
        <f t="shared" si="1"/>
        <v>0.95238095238095233</v>
      </c>
      <c r="K21" s="43"/>
    </row>
    <row r="22" spans="1:11" ht="15.6" x14ac:dyDescent="0.3">
      <c r="A22" s="11"/>
      <c r="B22" s="6" t="s">
        <v>30</v>
      </c>
      <c r="C22" s="2" t="s">
        <v>114</v>
      </c>
      <c r="D22" s="2" t="s">
        <v>114</v>
      </c>
      <c r="E22" s="2" t="s">
        <v>114</v>
      </c>
      <c r="F22" s="2"/>
      <c r="G22" s="2" t="s">
        <v>114</v>
      </c>
      <c r="H22" s="2"/>
      <c r="I22" s="2" t="s">
        <v>114</v>
      </c>
      <c r="J22" s="2" t="s">
        <v>114</v>
      </c>
      <c r="K22" s="2"/>
    </row>
    <row r="23" spans="1:11" ht="15.6" x14ac:dyDescent="0.3">
      <c r="A23" s="11"/>
      <c r="B23" s="6" t="s">
        <v>24</v>
      </c>
      <c r="C23" s="2">
        <v>61</v>
      </c>
      <c r="D23" s="2">
        <v>61</v>
      </c>
      <c r="E23" s="2">
        <v>61</v>
      </c>
      <c r="F23" s="2"/>
      <c r="G23" s="2">
        <v>61</v>
      </c>
      <c r="H23" s="2"/>
      <c r="I23" s="31">
        <v>57</v>
      </c>
      <c r="J23" s="2">
        <v>61</v>
      </c>
      <c r="K23" s="2"/>
    </row>
    <row r="24" spans="1:11" ht="16.2" thickBot="1" x14ac:dyDescent="0.35">
      <c r="A24" s="15"/>
      <c r="B24" s="16" t="s">
        <v>25</v>
      </c>
      <c r="C24" s="45">
        <f t="shared" ref="C24:J24" si="2">(C23-C16)/42</f>
        <v>0.80952380952380953</v>
      </c>
      <c r="D24" s="45">
        <f t="shared" si="2"/>
        <v>0.80952380952380953</v>
      </c>
      <c r="E24" s="45">
        <f t="shared" si="2"/>
        <v>0.80952380952380953</v>
      </c>
      <c r="F24" s="46"/>
      <c r="G24" s="45">
        <f t="shared" si="2"/>
        <v>0.80952380952380953</v>
      </c>
      <c r="H24" s="46"/>
      <c r="I24" s="45">
        <f t="shared" si="2"/>
        <v>0.7142857142857143</v>
      </c>
      <c r="J24" s="45">
        <f t="shared" si="2"/>
        <v>0.80952380952380953</v>
      </c>
      <c r="K24" s="46"/>
    </row>
    <row r="25" spans="1:11" ht="15.6" x14ac:dyDescent="0.3">
      <c r="A25" s="9" t="s">
        <v>26</v>
      </c>
      <c r="B25" s="10" t="s">
        <v>32</v>
      </c>
      <c r="C25" s="34">
        <v>130</v>
      </c>
      <c r="D25" s="34">
        <v>130</v>
      </c>
      <c r="E25" s="34">
        <v>130</v>
      </c>
      <c r="F25" s="34"/>
      <c r="G25" s="34">
        <v>130</v>
      </c>
      <c r="H25" s="34"/>
      <c r="I25" s="35">
        <v>114</v>
      </c>
      <c r="J25" s="34">
        <v>130</v>
      </c>
      <c r="K25" s="34"/>
    </row>
    <row r="26" spans="1:11" ht="15.6" x14ac:dyDescent="0.3">
      <c r="A26" s="11"/>
      <c r="B26" s="6" t="s">
        <v>33</v>
      </c>
      <c r="C26" s="2" t="s">
        <v>114</v>
      </c>
      <c r="D26" s="2" t="s">
        <v>114</v>
      </c>
      <c r="E26" s="2" t="s">
        <v>114</v>
      </c>
      <c r="F26" s="2"/>
      <c r="G26" s="2" t="s">
        <v>114</v>
      </c>
      <c r="H26" s="2"/>
      <c r="I26" s="2" t="s">
        <v>114</v>
      </c>
      <c r="J26" s="2" t="s">
        <v>114</v>
      </c>
      <c r="K26" s="2"/>
    </row>
    <row r="27" spans="1:11" ht="15.6" x14ac:dyDescent="0.3">
      <c r="A27" s="11"/>
      <c r="B27" s="6" t="s">
        <v>34</v>
      </c>
      <c r="C27" s="42">
        <f t="shared" ref="C27:G27" si="3">(C25-C19)/65</f>
        <v>0.9538461538461539</v>
      </c>
      <c r="D27" s="42">
        <f t="shared" si="3"/>
        <v>0.9538461538461539</v>
      </c>
      <c r="E27" s="2">
        <v>0.95399999999999996</v>
      </c>
      <c r="F27" s="2"/>
      <c r="G27" s="42">
        <f t="shared" si="3"/>
        <v>0.9538461538461539</v>
      </c>
      <c r="H27" s="2"/>
      <c r="I27" s="31">
        <v>0.873</v>
      </c>
      <c r="J27" s="2">
        <v>0.98399999999999999</v>
      </c>
      <c r="K27" s="2"/>
    </row>
    <row r="28" spans="1:11" ht="15.6" x14ac:dyDescent="0.3">
      <c r="A28" s="11"/>
      <c r="B28" s="6" t="s">
        <v>35</v>
      </c>
      <c r="C28" s="2" t="s">
        <v>114</v>
      </c>
      <c r="D28" s="2" t="s">
        <v>114</v>
      </c>
      <c r="E28" s="2" t="s">
        <v>114</v>
      </c>
      <c r="F28" s="2"/>
      <c r="G28" s="2" t="s">
        <v>114</v>
      </c>
      <c r="H28" s="2"/>
      <c r="I28" s="2" t="s">
        <v>114</v>
      </c>
      <c r="J28" s="2" t="s">
        <v>114</v>
      </c>
      <c r="K28" s="2"/>
    </row>
    <row r="29" spans="1:11" ht="15.6" x14ac:dyDescent="0.3">
      <c r="A29" s="11"/>
      <c r="B29" s="6" t="s">
        <v>24</v>
      </c>
      <c r="C29" s="2">
        <v>118</v>
      </c>
      <c r="D29" s="2">
        <v>118</v>
      </c>
      <c r="E29" s="2">
        <v>118</v>
      </c>
      <c r="F29" s="2"/>
      <c r="G29" s="2">
        <v>118</v>
      </c>
      <c r="H29" s="2"/>
      <c r="I29" s="31">
        <v>111</v>
      </c>
      <c r="J29" s="2">
        <v>118</v>
      </c>
      <c r="K29" s="2"/>
    </row>
    <row r="30" spans="1:11" ht="16.2" thickBot="1" x14ac:dyDescent="0.35">
      <c r="A30" s="15"/>
      <c r="B30" s="16" t="s">
        <v>25</v>
      </c>
      <c r="C30" s="45">
        <f t="shared" ref="C30:J30" si="4">(C29-C23)/65</f>
        <v>0.87692307692307692</v>
      </c>
      <c r="D30" s="45">
        <f t="shared" si="4"/>
        <v>0.87692307692307692</v>
      </c>
      <c r="E30" s="45">
        <f t="shared" si="4"/>
        <v>0.87692307692307692</v>
      </c>
      <c r="F30" s="46"/>
      <c r="G30" s="45">
        <f t="shared" si="4"/>
        <v>0.87692307692307692</v>
      </c>
      <c r="H30" s="46"/>
      <c r="I30" s="45">
        <f t="shared" si="4"/>
        <v>0.83076923076923082</v>
      </c>
      <c r="J30" s="45">
        <f t="shared" si="4"/>
        <v>0.87692307692307692</v>
      </c>
      <c r="K30" s="46"/>
    </row>
    <row r="31" spans="1:11" ht="15.6" x14ac:dyDescent="0.3">
      <c r="A31" s="9" t="s">
        <v>36</v>
      </c>
      <c r="B31" s="10" t="s">
        <v>37</v>
      </c>
      <c r="C31" s="34">
        <v>150</v>
      </c>
      <c r="D31" s="34">
        <v>150</v>
      </c>
      <c r="E31" s="34">
        <v>150</v>
      </c>
      <c r="F31" s="34"/>
      <c r="G31" s="34">
        <v>160</v>
      </c>
      <c r="H31" s="34"/>
      <c r="I31" s="35">
        <v>131</v>
      </c>
      <c r="J31" s="34">
        <v>150</v>
      </c>
      <c r="K31" s="34"/>
    </row>
    <row r="32" spans="1:11" ht="15.6" x14ac:dyDescent="0.3">
      <c r="A32" s="11"/>
      <c r="B32" s="6" t="s">
        <v>38</v>
      </c>
      <c r="C32" s="2" t="s">
        <v>114</v>
      </c>
      <c r="D32" s="2" t="s">
        <v>114</v>
      </c>
      <c r="E32" s="2" t="s">
        <v>114</v>
      </c>
      <c r="F32" s="2"/>
      <c r="G32" s="2" t="s">
        <v>114</v>
      </c>
      <c r="H32" s="2"/>
      <c r="I32" s="2" t="s">
        <v>114</v>
      </c>
      <c r="J32" s="2" t="s">
        <v>114</v>
      </c>
      <c r="K32" s="2"/>
    </row>
    <row r="33" spans="1:11" ht="15.6" x14ac:dyDescent="0.3">
      <c r="A33" s="11"/>
      <c r="B33" s="6" t="s">
        <v>39</v>
      </c>
      <c r="C33" s="42">
        <f t="shared" ref="C33:J33" si="5">(C31-C25)/21</f>
        <v>0.95238095238095233</v>
      </c>
      <c r="D33" s="42">
        <f t="shared" si="5"/>
        <v>0.95238095238095233</v>
      </c>
      <c r="E33" s="42">
        <f t="shared" si="5"/>
        <v>0.95238095238095233</v>
      </c>
      <c r="F33" s="43"/>
      <c r="G33" s="42">
        <f t="shared" si="5"/>
        <v>1.4285714285714286</v>
      </c>
      <c r="H33" s="43"/>
      <c r="I33" s="42">
        <f t="shared" si="5"/>
        <v>0.80952380952380953</v>
      </c>
      <c r="J33" s="42">
        <f t="shared" si="5"/>
        <v>0.95238095238095233</v>
      </c>
      <c r="K33" s="43"/>
    </row>
    <row r="34" spans="1:11" ht="15.6" x14ac:dyDescent="0.3">
      <c r="A34" s="11"/>
      <c r="B34" s="6" t="s">
        <v>40</v>
      </c>
      <c r="C34" s="2" t="s">
        <v>114</v>
      </c>
      <c r="D34" s="2" t="s">
        <v>114</v>
      </c>
      <c r="E34" s="2" t="s">
        <v>114</v>
      </c>
      <c r="F34" s="2"/>
      <c r="G34" s="2" t="s">
        <v>114</v>
      </c>
      <c r="H34" s="2"/>
      <c r="I34" s="2" t="s">
        <v>114</v>
      </c>
      <c r="J34" s="2" t="s">
        <v>114</v>
      </c>
      <c r="K34" s="2"/>
    </row>
    <row r="35" spans="1:11" ht="15.6" x14ac:dyDescent="0.3">
      <c r="A35" s="11"/>
      <c r="B35" s="6" t="s">
        <v>24</v>
      </c>
      <c r="C35" s="2">
        <v>135</v>
      </c>
      <c r="D35" s="2">
        <v>135</v>
      </c>
      <c r="E35" s="2">
        <v>135</v>
      </c>
      <c r="F35" s="2"/>
      <c r="G35" s="2">
        <v>135</v>
      </c>
      <c r="H35" s="2"/>
      <c r="I35" s="31">
        <v>127</v>
      </c>
      <c r="J35" s="2">
        <v>135</v>
      </c>
      <c r="K35" s="2"/>
    </row>
    <row r="36" spans="1:11" ht="15.6" x14ac:dyDescent="0.3">
      <c r="A36" s="11"/>
      <c r="B36" s="6" t="s">
        <v>25</v>
      </c>
      <c r="C36" s="42">
        <f t="shared" ref="C36:J36" si="6">(C35-C29)/21</f>
        <v>0.80952380952380953</v>
      </c>
      <c r="D36" s="42">
        <f t="shared" si="6"/>
        <v>0.80952380952380953</v>
      </c>
      <c r="E36" s="42">
        <f t="shared" si="6"/>
        <v>0.80952380952380953</v>
      </c>
      <c r="F36" s="43"/>
      <c r="G36" s="42">
        <f t="shared" si="6"/>
        <v>0.80952380952380953</v>
      </c>
      <c r="H36" s="43"/>
      <c r="I36" s="42">
        <f t="shared" si="6"/>
        <v>0.76190476190476186</v>
      </c>
      <c r="J36" s="42">
        <f t="shared" si="6"/>
        <v>0.80952380952380953</v>
      </c>
      <c r="K36" s="43"/>
    </row>
    <row r="37" spans="1:11" ht="15.6" x14ac:dyDescent="0.3">
      <c r="A37" s="11"/>
      <c r="B37" s="6" t="s">
        <v>41</v>
      </c>
      <c r="C37" s="47">
        <v>1</v>
      </c>
      <c r="D37" s="47">
        <v>1</v>
      </c>
      <c r="E37" s="47">
        <v>1</v>
      </c>
      <c r="F37" s="47"/>
      <c r="G37" s="47">
        <v>1</v>
      </c>
      <c r="H37" s="47"/>
      <c r="I37" s="47">
        <v>1</v>
      </c>
      <c r="J37" s="47">
        <v>1</v>
      </c>
      <c r="K37" s="47"/>
    </row>
    <row r="38" spans="1:11" ht="16.2" thickBot="1" x14ac:dyDescent="0.35">
      <c r="A38" s="12"/>
      <c r="B38" s="13" t="s">
        <v>42</v>
      </c>
      <c r="C38" s="48">
        <f t="shared" ref="C38:J38" si="7">C18</f>
        <v>12</v>
      </c>
      <c r="D38" s="48">
        <f t="shared" si="7"/>
        <v>13</v>
      </c>
      <c r="E38" s="48">
        <f t="shared" si="7"/>
        <v>12</v>
      </c>
      <c r="F38" s="49"/>
      <c r="G38" s="48">
        <f t="shared" si="7"/>
        <v>5</v>
      </c>
      <c r="H38" s="49"/>
      <c r="I38" s="48">
        <f t="shared" si="7"/>
        <v>4</v>
      </c>
      <c r="J38" s="48">
        <f t="shared" si="7"/>
        <v>23</v>
      </c>
      <c r="K38" s="49"/>
    </row>
    <row r="39" spans="1:11" ht="15.6" x14ac:dyDescent="0.3">
      <c r="A39" s="9" t="s">
        <v>45</v>
      </c>
      <c r="B39" s="10" t="s">
        <v>43</v>
      </c>
      <c r="C39" s="34">
        <v>11</v>
      </c>
      <c r="D39" s="34">
        <v>12</v>
      </c>
      <c r="E39" s="34">
        <v>11</v>
      </c>
      <c r="F39" s="34"/>
      <c r="G39" s="34">
        <v>5</v>
      </c>
      <c r="H39" s="34"/>
      <c r="I39" s="35">
        <v>4</v>
      </c>
      <c r="J39" s="34">
        <v>22</v>
      </c>
      <c r="K39" s="34"/>
    </row>
    <row r="40" spans="1:11" ht="15.6" x14ac:dyDescent="0.3">
      <c r="A40" s="17"/>
      <c r="B40" s="8" t="s">
        <v>46</v>
      </c>
      <c r="C40" s="40">
        <v>170</v>
      </c>
      <c r="D40" s="40">
        <v>170</v>
      </c>
      <c r="E40" s="40">
        <v>170</v>
      </c>
      <c r="F40" s="40"/>
      <c r="G40" s="40">
        <v>170</v>
      </c>
      <c r="H40" s="40"/>
      <c r="I40" s="41">
        <v>155</v>
      </c>
      <c r="J40" s="40">
        <v>175</v>
      </c>
      <c r="K40" s="40"/>
    </row>
    <row r="41" spans="1:11" ht="15.6" x14ac:dyDescent="0.3">
      <c r="A41" s="17"/>
      <c r="B41" s="8" t="s">
        <v>47</v>
      </c>
      <c r="C41" s="40" t="s">
        <v>114</v>
      </c>
      <c r="D41" s="40" t="s">
        <v>114</v>
      </c>
      <c r="E41" s="40" t="s">
        <v>114</v>
      </c>
      <c r="F41" s="40"/>
      <c r="G41" s="40" t="s">
        <v>114</v>
      </c>
      <c r="H41" s="40"/>
      <c r="I41" s="40" t="s">
        <v>114</v>
      </c>
      <c r="J41" s="40" t="s">
        <v>114</v>
      </c>
      <c r="K41" s="40"/>
    </row>
    <row r="42" spans="1:11" ht="15.6" x14ac:dyDescent="0.3">
      <c r="A42" s="17"/>
      <c r="B42" s="8" t="s">
        <v>48</v>
      </c>
      <c r="C42" s="40">
        <v>32</v>
      </c>
      <c r="D42" s="40">
        <v>32</v>
      </c>
      <c r="E42" s="40">
        <v>32</v>
      </c>
      <c r="F42" s="40"/>
      <c r="G42" s="40">
        <v>32</v>
      </c>
      <c r="H42" s="40"/>
      <c r="I42" s="41">
        <v>32</v>
      </c>
      <c r="J42" s="40">
        <v>32</v>
      </c>
      <c r="K42" s="40"/>
    </row>
    <row r="43" spans="1:11" ht="16.2" thickBot="1" x14ac:dyDescent="0.35">
      <c r="A43" s="18"/>
      <c r="B43" s="19" t="s">
        <v>49</v>
      </c>
      <c r="C43" s="50" t="s">
        <v>114</v>
      </c>
      <c r="D43" s="50" t="s">
        <v>114</v>
      </c>
      <c r="E43" s="50" t="s">
        <v>114</v>
      </c>
      <c r="F43" s="50"/>
      <c r="G43" s="50" t="s">
        <v>114</v>
      </c>
      <c r="H43" s="50"/>
      <c r="I43" s="50" t="s">
        <v>114</v>
      </c>
      <c r="J43" s="50" t="s">
        <v>114</v>
      </c>
      <c r="K43" s="50"/>
    </row>
    <row r="44" spans="1:11" ht="15.6" x14ac:dyDescent="0.3">
      <c r="A44" s="9" t="s">
        <v>50</v>
      </c>
      <c r="B44" s="10" t="s">
        <v>51</v>
      </c>
      <c r="C44" s="51">
        <v>0.94</v>
      </c>
      <c r="D44" s="52">
        <v>0.94</v>
      </c>
      <c r="E44" s="51">
        <v>0.94</v>
      </c>
      <c r="F44" s="34"/>
      <c r="G44" s="51">
        <v>1</v>
      </c>
      <c r="H44" s="34"/>
      <c r="I44" s="53">
        <v>0.9</v>
      </c>
      <c r="J44" s="51">
        <v>0.94</v>
      </c>
      <c r="K44" s="34"/>
    </row>
    <row r="45" spans="1:11" ht="15.6" x14ac:dyDescent="0.3">
      <c r="A45" s="17"/>
      <c r="B45" s="8" t="s">
        <v>44</v>
      </c>
      <c r="C45" s="54">
        <f t="shared" ref="C45:J45" si="8">C51-C40</f>
        <v>75</v>
      </c>
      <c r="D45" s="54">
        <f t="shared" si="8"/>
        <v>75</v>
      </c>
      <c r="E45" s="54">
        <f>E51-E40</f>
        <v>75</v>
      </c>
      <c r="F45" s="55"/>
      <c r="G45" s="54">
        <f t="shared" si="8"/>
        <v>75</v>
      </c>
      <c r="H45" s="55"/>
      <c r="I45" s="54">
        <f t="shared" si="8"/>
        <v>90</v>
      </c>
      <c r="J45" s="54">
        <f t="shared" si="8"/>
        <v>70</v>
      </c>
      <c r="K45" s="55"/>
    </row>
    <row r="46" spans="1:11" ht="16.2" thickBot="1" x14ac:dyDescent="0.35">
      <c r="A46" s="18"/>
      <c r="B46" s="19" t="s">
        <v>52</v>
      </c>
      <c r="C46" s="56" t="s">
        <v>114</v>
      </c>
      <c r="D46" s="56" t="s">
        <v>114</v>
      </c>
      <c r="E46" s="56" t="s">
        <v>114</v>
      </c>
      <c r="F46" s="56"/>
      <c r="G46" s="56" t="s">
        <v>114</v>
      </c>
      <c r="H46" s="56"/>
      <c r="I46" s="56" t="s">
        <v>114</v>
      </c>
      <c r="J46" s="56" t="s">
        <v>114</v>
      </c>
      <c r="K46" s="56"/>
    </row>
    <row r="47" spans="1:11" ht="15.6" x14ac:dyDescent="0.3">
      <c r="A47" s="9" t="s">
        <v>53</v>
      </c>
      <c r="B47" s="10" t="s">
        <v>54</v>
      </c>
      <c r="C47" s="57">
        <f t="shared" ref="C47:G47" si="9">SUM(C48:C50)</f>
        <v>16</v>
      </c>
      <c r="D47" s="57">
        <f t="shared" si="9"/>
        <v>16.5</v>
      </c>
      <c r="E47" s="57">
        <f t="shared" si="9"/>
        <v>15.7</v>
      </c>
      <c r="F47" s="58"/>
      <c r="G47" s="57">
        <f t="shared" si="9"/>
        <v>16</v>
      </c>
      <c r="H47" s="58"/>
      <c r="I47" s="57">
        <f t="shared" ref="I47" si="10">SUM(I48:I50)</f>
        <v>16</v>
      </c>
      <c r="J47" s="57">
        <f t="shared" ref="J47" si="11">SUM(J48:J50)</f>
        <v>16</v>
      </c>
      <c r="K47" s="58"/>
    </row>
    <row r="48" spans="1:11" ht="15.6" x14ac:dyDescent="0.3">
      <c r="A48" s="17"/>
      <c r="B48" s="8" t="s">
        <v>55</v>
      </c>
      <c r="C48" s="40">
        <v>15</v>
      </c>
      <c r="D48" s="40">
        <v>15.5</v>
      </c>
      <c r="E48" s="40">
        <v>15</v>
      </c>
      <c r="F48" s="40"/>
      <c r="G48" s="40">
        <v>15.5</v>
      </c>
      <c r="H48" s="40"/>
      <c r="I48" s="41">
        <v>15</v>
      </c>
      <c r="J48" s="40">
        <v>15</v>
      </c>
      <c r="K48" s="40"/>
    </row>
    <row r="49" spans="1:11" ht="15.6" x14ac:dyDescent="0.3">
      <c r="A49" s="17"/>
      <c r="B49" s="8" t="s">
        <v>56</v>
      </c>
      <c r="C49" s="40">
        <v>0.7</v>
      </c>
      <c r="D49" s="40">
        <v>0.6</v>
      </c>
      <c r="E49" s="40">
        <v>0.5</v>
      </c>
      <c r="F49" s="40"/>
      <c r="G49" s="40">
        <v>0.3</v>
      </c>
      <c r="H49" s="40"/>
      <c r="I49" s="41">
        <v>0.7</v>
      </c>
      <c r="J49" s="40">
        <v>0.7</v>
      </c>
      <c r="K49" s="40"/>
    </row>
    <row r="50" spans="1:11" ht="15.6" x14ac:dyDescent="0.3">
      <c r="A50" s="17"/>
      <c r="B50" s="8" t="s">
        <v>57</v>
      </c>
      <c r="C50" s="40">
        <v>0.3</v>
      </c>
      <c r="D50" s="40">
        <v>0.4</v>
      </c>
      <c r="E50" s="40">
        <v>0.2</v>
      </c>
      <c r="F50" s="40"/>
      <c r="G50" s="40">
        <v>0.2</v>
      </c>
      <c r="H50" s="40"/>
      <c r="I50" s="41">
        <v>0.3</v>
      </c>
      <c r="J50" s="40">
        <v>0.3</v>
      </c>
      <c r="K50" s="40"/>
    </row>
    <row r="51" spans="1:11" ht="15.6" x14ac:dyDescent="0.3">
      <c r="A51" s="17"/>
      <c r="B51" s="8" t="s">
        <v>58</v>
      </c>
      <c r="C51" s="59">
        <v>245</v>
      </c>
      <c r="D51" s="59">
        <v>245</v>
      </c>
      <c r="E51" s="59">
        <v>245</v>
      </c>
      <c r="F51" s="59"/>
      <c r="G51" s="59">
        <v>245</v>
      </c>
      <c r="H51" s="59"/>
      <c r="I51" s="59">
        <v>245</v>
      </c>
      <c r="J51" s="59">
        <v>245</v>
      </c>
      <c r="K51" s="40"/>
    </row>
    <row r="52" spans="1:11" ht="16.2" thickBot="1" x14ac:dyDescent="0.35">
      <c r="A52" s="18"/>
      <c r="B52" s="19" t="s">
        <v>59</v>
      </c>
      <c r="C52" s="50" t="s">
        <v>114</v>
      </c>
      <c r="D52" s="50" t="s">
        <v>114</v>
      </c>
      <c r="E52" s="50" t="s">
        <v>114</v>
      </c>
      <c r="F52" s="50"/>
      <c r="G52" s="50" t="s">
        <v>114</v>
      </c>
      <c r="H52" s="50"/>
      <c r="I52" s="50" t="s">
        <v>114</v>
      </c>
      <c r="J52" s="50" t="s">
        <v>114</v>
      </c>
      <c r="K52" s="50"/>
    </row>
    <row r="53" spans="1:11" ht="15.6" x14ac:dyDescent="0.3">
      <c r="A53" s="9" t="s">
        <v>60</v>
      </c>
      <c r="B53" s="10" t="s">
        <v>61</v>
      </c>
      <c r="C53" s="34" t="s">
        <v>115</v>
      </c>
      <c r="D53" s="34" t="s">
        <v>115</v>
      </c>
      <c r="E53" s="60" t="s">
        <v>115</v>
      </c>
      <c r="F53" s="34"/>
      <c r="G53" s="34" t="s">
        <v>115</v>
      </c>
      <c r="H53" s="34"/>
      <c r="I53" s="61" t="s">
        <v>115</v>
      </c>
      <c r="J53" s="61" t="s">
        <v>115</v>
      </c>
      <c r="K53" s="34"/>
    </row>
    <row r="54" spans="1:11" ht="15.6" x14ac:dyDescent="0.3">
      <c r="A54" s="17"/>
      <c r="B54" s="8" t="s">
        <v>62</v>
      </c>
      <c r="C54" s="59" t="s">
        <v>114</v>
      </c>
      <c r="D54" s="59" t="s">
        <v>114</v>
      </c>
      <c r="E54" s="59" t="s">
        <v>114</v>
      </c>
      <c r="F54" s="59"/>
      <c r="G54" s="59" t="s">
        <v>114</v>
      </c>
      <c r="H54" s="59"/>
      <c r="I54" s="59" t="s">
        <v>114</v>
      </c>
      <c r="J54" s="59" t="s">
        <v>114</v>
      </c>
      <c r="K54" s="59"/>
    </row>
    <row r="55" spans="1:11" ht="16.2" thickBot="1" x14ac:dyDescent="0.35">
      <c r="A55" s="21"/>
      <c r="B55" s="14" t="s">
        <v>63</v>
      </c>
      <c r="C55" s="62">
        <f t="shared" ref="C55:J55" si="12">C9</f>
        <v>16</v>
      </c>
      <c r="D55" s="62">
        <f t="shared" si="12"/>
        <v>16</v>
      </c>
      <c r="E55" s="62">
        <f t="shared" si="12"/>
        <v>16</v>
      </c>
      <c r="F55" s="63"/>
      <c r="G55" s="62">
        <f t="shared" si="12"/>
        <v>16</v>
      </c>
      <c r="H55" s="63"/>
      <c r="I55" s="62">
        <f t="shared" si="12"/>
        <v>16</v>
      </c>
      <c r="J55" s="62">
        <f t="shared" si="12"/>
        <v>16</v>
      </c>
      <c r="K55" s="63"/>
    </row>
    <row r="56" spans="1:11" ht="15.6" x14ac:dyDescent="0.3">
      <c r="A56" s="9" t="s">
        <v>64</v>
      </c>
      <c r="B56" s="10" t="s">
        <v>65</v>
      </c>
      <c r="C56" s="64">
        <f>(C39*C44)-1</f>
        <v>9.34</v>
      </c>
      <c r="D56" s="64">
        <f>(D39*D44)-1</f>
        <v>10.28</v>
      </c>
      <c r="E56" s="64">
        <f>(E39*E44)-1</f>
        <v>9.34</v>
      </c>
      <c r="F56" s="65"/>
      <c r="G56" s="64">
        <f>(G39*G44)-0.5</f>
        <v>4.5</v>
      </c>
      <c r="H56" s="65"/>
      <c r="I56" s="64">
        <f>(I39*I44)-0.5</f>
        <v>3.1</v>
      </c>
      <c r="J56" s="64">
        <f>(J39*J44)-1.5</f>
        <v>19.18</v>
      </c>
      <c r="K56" s="65"/>
    </row>
    <row r="57" spans="1:11" ht="15.6" x14ac:dyDescent="0.3">
      <c r="A57" s="11"/>
      <c r="B57" s="6" t="s">
        <v>66</v>
      </c>
      <c r="C57" s="66">
        <f>(C51-(C47*C82)-(8.9))*(1-10%)</f>
        <v>193.76999999999998</v>
      </c>
      <c r="D57" s="66">
        <f t="shared" ref="D57:J57" si="13">(D51-(D47*D82)-(8.9))*(1-10%)</f>
        <v>190.215</v>
      </c>
      <c r="E57" s="66">
        <f t="shared" si="13"/>
        <v>194.12100000000001</v>
      </c>
      <c r="F57" s="67"/>
      <c r="G57" s="66">
        <f t="shared" si="13"/>
        <v>193.76999999999998</v>
      </c>
      <c r="H57" s="67"/>
      <c r="I57" s="66">
        <f t="shared" si="13"/>
        <v>198.09</v>
      </c>
      <c r="J57" s="66">
        <f t="shared" si="13"/>
        <v>193.05</v>
      </c>
      <c r="K57" s="67"/>
    </row>
    <row r="58" spans="1:11" ht="16.2" thickBot="1" x14ac:dyDescent="0.35">
      <c r="A58" s="12"/>
      <c r="B58" s="13" t="s">
        <v>67</v>
      </c>
      <c r="C58" s="39" t="s">
        <v>114</v>
      </c>
      <c r="D58" s="39" t="s">
        <v>114</v>
      </c>
      <c r="E58" s="39" t="s">
        <v>114</v>
      </c>
      <c r="F58" s="68"/>
      <c r="G58" s="39" t="s">
        <v>114</v>
      </c>
      <c r="H58" s="68"/>
      <c r="I58" s="39" t="s">
        <v>114</v>
      </c>
      <c r="J58" s="39" t="s">
        <v>114</v>
      </c>
      <c r="K58" s="68"/>
    </row>
    <row r="59" spans="1:11" ht="15.6" x14ac:dyDescent="0.3">
      <c r="A59" s="9" t="s">
        <v>68</v>
      </c>
      <c r="B59" s="10" t="s">
        <v>69</v>
      </c>
      <c r="C59" s="51">
        <v>0.92</v>
      </c>
      <c r="D59" s="52">
        <v>0.92</v>
      </c>
      <c r="E59" s="51">
        <v>0.92</v>
      </c>
      <c r="F59" s="34"/>
      <c r="G59" s="51">
        <v>0.92</v>
      </c>
      <c r="H59" s="34"/>
      <c r="I59" s="53">
        <v>0.9</v>
      </c>
      <c r="J59" s="51">
        <v>0.94</v>
      </c>
      <c r="K59" s="34"/>
    </row>
    <row r="60" spans="1:11" ht="15.6" x14ac:dyDescent="0.3">
      <c r="A60" s="17"/>
      <c r="B60" s="8" t="s">
        <v>70</v>
      </c>
      <c r="C60" s="40">
        <v>64</v>
      </c>
      <c r="D60" s="40">
        <v>64</v>
      </c>
      <c r="E60" s="40">
        <v>64</v>
      </c>
      <c r="F60" s="40"/>
      <c r="G60" s="40">
        <v>64</v>
      </c>
      <c r="H60" s="40"/>
      <c r="I60" s="41">
        <v>64</v>
      </c>
      <c r="J60" s="41">
        <v>64</v>
      </c>
      <c r="K60" s="40"/>
    </row>
    <row r="61" spans="1:11" ht="16.2" thickBot="1" x14ac:dyDescent="0.35">
      <c r="A61" s="18"/>
      <c r="B61" s="19" t="s">
        <v>71</v>
      </c>
      <c r="C61" s="50" t="s">
        <v>114</v>
      </c>
      <c r="D61" s="50" t="s">
        <v>114</v>
      </c>
      <c r="E61" s="50" t="s">
        <v>114</v>
      </c>
      <c r="F61" s="50"/>
      <c r="G61" s="50" t="s">
        <v>114</v>
      </c>
      <c r="H61" s="50"/>
      <c r="I61" s="50" t="s">
        <v>114</v>
      </c>
      <c r="J61" s="50" t="s">
        <v>114</v>
      </c>
      <c r="K61" s="50"/>
    </row>
    <row r="62" spans="1:11" ht="15.6" x14ac:dyDescent="0.3">
      <c r="A62" s="9" t="s">
        <v>72</v>
      </c>
      <c r="B62" s="10" t="s">
        <v>73</v>
      </c>
      <c r="C62" s="57">
        <f t="shared" ref="C62:J62" si="14">C47+0.2</f>
        <v>16.2</v>
      </c>
      <c r="D62" s="57">
        <f t="shared" si="14"/>
        <v>16.7</v>
      </c>
      <c r="E62" s="57">
        <f t="shared" si="14"/>
        <v>15.899999999999999</v>
      </c>
      <c r="F62" s="58"/>
      <c r="G62" s="57">
        <f t="shared" si="14"/>
        <v>16.2</v>
      </c>
      <c r="H62" s="58"/>
      <c r="I62" s="57">
        <f t="shared" si="14"/>
        <v>16.2</v>
      </c>
      <c r="J62" s="57">
        <f t="shared" si="14"/>
        <v>16.2</v>
      </c>
      <c r="K62" s="58"/>
    </row>
    <row r="63" spans="1:11" ht="15.6" x14ac:dyDescent="0.3">
      <c r="A63" s="17"/>
      <c r="B63" s="8" t="s">
        <v>74</v>
      </c>
      <c r="C63" s="54">
        <f t="shared" ref="C63:J63" si="15">C48+0.2</f>
        <v>15.2</v>
      </c>
      <c r="D63" s="54">
        <f t="shared" si="15"/>
        <v>15.7</v>
      </c>
      <c r="E63" s="54">
        <f t="shared" si="15"/>
        <v>15.2</v>
      </c>
      <c r="F63" s="55"/>
      <c r="G63" s="54">
        <f t="shared" si="15"/>
        <v>15.7</v>
      </c>
      <c r="H63" s="55"/>
      <c r="I63" s="54">
        <f t="shared" si="15"/>
        <v>15.2</v>
      </c>
      <c r="J63" s="54">
        <f t="shared" si="15"/>
        <v>15.2</v>
      </c>
      <c r="K63" s="55"/>
    </row>
    <row r="64" spans="1:11" ht="15.6" x14ac:dyDescent="0.3">
      <c r="A64" s="17"/>
      <c r="B64" s="8" t="s">
        <v>75</v>
      </c>
      <c r="C64" s="54">
        <f t="shared" ref="C64:J64" si="16">C49</f>
        <v>0.7</v>
      </c>
      <c r="D64" s="54">
        <f t="shared" si="16"/>
        <v>0.6</v>
      </c>
      <c r="E64" s="54">
        <f t="shared" si="16"/>
        <v>0.5</v>
      </c>
      <c r="F64" s="55"/>
      <c r="G64" s="54">
        <f t="shared" si="16"/>
        <v>0.3</v>
      </c>
      <c r="H64" s="55"/>
      <c r="I64" s="54">
        <f t="shared" si="16"/>
        <v>0.7</v>
      </c>
      <c r="J64" s="54">
        <f t="shared" si="16"/>
        <v>0.7</v>
      </c>
      <c r="K64" s="55"/>
    </row>
    <row r="65" spans="1:11" ht="16.2" thickBot="1" x14ac:dyDescent="0.35">
      <c r="A65" s="21"/>
      <c r="B65" s="14" t="s">
        <v>76</v>
      </c>
      <c r="C65" s="62">
        <f t="shared" ref="C65:J65" si="17">C50</f>
        <v>0.3</v>
      </c>
      <c r="D65" s="62">
        <f t="shared" si="17"/>
        <v>0.4</v>
      </c>
      <c r="E65" s="62">
        <f t="shared" si="17"/>
        <v>0.2</v>
      </c>
      <c r="F65" s="63"/>
      <c r="G65" s="62">
        <f t="shared" si="17"/>
        <v>0.2</v>
      </c>
      <c r="H65" s="63"/>
      <c r="I65" s="62">
        <f t="shared" si="17"/>
        <v>0.3</v>
      </c>
      <c r="J65" s="62">
        <f t="shared" si="17"/>
        <v>0.3</v>
      </c>
      <c r="K65" s="63"/>
    </row>
    <row r="66" spans="1:11" ht="15.6" x14ac:dyDescent="0.3">
      <c r="A66" s="9" t="s">
        <v>77</v>
      </c>
      <c r="B66" s="10" t="s">
        <v>80</v>
      </c>
      <c r="C66" s="69">
        <f t="shared" ref="C66:J66" si="18">C72-C56-C39</f>
        <v>29.659999999999997</v>
      </c>
      <c r="D66" s="69">
        <f t="shared" si="18"/>
        <v>26.72</v>
      </c>
      <c r="E66" s="69">
        <f t="shared" si="18"/>
        <v>29.659999999999997</v>
      </c>
      <c r="F66" s="70"/>
      <c r="G66" s="69">
        <f t="shared" si="18"/>
        <v>10.5</v>
      </c>
      <c r="H66" s="70"/>
      <c r="I66" s="69">
        <f t="shared" si="18"/>
        <v>16.899999999999999</v>
      </c>
      <c r="J66" s="69">
        <f t="shared" si="18"/>
        <v>64.819999999999993</v>
      </c>
      <c r="K66" s="70"/>
    </row>
    <row r="67" spans="1:11" x14ac:dyDescent="0.3">
      <c r="A67" s="22"/>
      <c r="B67" s="6" t="s">
        <v>78</v>
      </c>
      <c r="C67" s="47">
        <v>0.92</v>
      </c>
      <c r="D67" s="71">
        <v>0.92</v>
      </c>
      <c r="E67" s="47">
        <v>0.92</v>
      </c>
      <c r="F67" s="2"/>
      <c r="G67" s="47">
        <v>0.92500000000000004</v>
      </c>
      <c r="H67" s="2"/>
      <c r="I67" s="72">
        <v>0.9</v>
      </c>
      <c r="J67" s="47">
        <v>0.96</v>
      </c>
      <c r="K67" s="2"/>
    </row>
    <row r="68" spans="1:11" ht="15.6" x14ac:dyDescent="0.3">
      <c r="A68" s="11"/>
      <c r="B68" s="6" t="s">
        <v>79</v>
      </c>
      <c r="C68" s="73">
        <f t="shared" ref="C68:I68" si="19">C47+1</f>
        <v>17</v>
      </c>
      <c r="D68" s="73">
        <f t="shared" si="19"/>
        <v>17.5</v>
      </c>
      <c r="E68" s="73">
        <f t="shared" si="19"/>
        <v>16.7</v>
      </c>
      <c r="F68" s="74"/>
      <c r="G68" s="73">
        <f t="shared" si="19"/>
        <v>17</v>
      </c>
      <c r="H68" s="74"/>
      <c r="I68" s="73">
        <f t="shared" si="19"/>
        <v>17</v>
      </c>
      <c r="J68" s="73">
        <v>17.399999999999999</v>
      </c>
      <c r="K68" s="74"/>
    </row>
    <row r="69" spans="1:11" ht="15.6" x14ac:dyDescent="0.3">
      <c r="A69" s="11"/>
      <c r="B69" s="6" t="s">
        <v>81</v>
      </c>
      <c r="C69" s="73">
        <f t="shared" ref="C69:J69" si="20">C48+1</f>
        <v>16</v>
      </c>
      <c r="D69" s="73">
        <f t="shared" si="20"/>
        <v>16.5</v>
      </c>
      <c r="E69" s="73">
        <f t="shared" si="20"/>
        <v>16</v>
      </c>
      <c r="F69" s="74"/>
      <c r="G69" s="73">
        <f t="shared" si="20"/>
        <v>16.5</v>
      </c>
      <c r="H69" s="74"/>
      <c r="I69" s="73">
        <f t="shared" si="20"/>
        <v>16</v>
      </c>
      <c r="J69" s="73">
        <f t="shared" si="20"/>
        <v>16</v>
      </c>
      <c r="K69" s="74"/>
    </row>
    <row r="70" spans="1:11" ht="15.6" x14ac:dyDescent="0.3">
      <c r="A70" s="11"/>
      <c r="B70" s="6" t="s">
        <v>82</v>
      </c>
      <c r="C70" s="73">
        <f t="shared" ref="C70:J70" si="21">C49+0.2</f>
        <v>0.89999999999999991</v>
      </c>
      <c r="D70" s="73">
        <f t="shared" si="21"/>
        <v>0.8</v>
      </c>
      <c r="E70" s="73">
        <f>E49+0.1</f>
        <v>0.6</v>
      </c>
      <c r="F70" s="74"/>
      <c r="G70" s="73">
        <f t="shared" si="21"/>
        <v>0.5</v>
      </c>
      <c r="H70" s="74"/>
      <c r="I70" s="73">
        <f t="shared" si="21"/>
        <v>0.89999999999999991</v>
      </c>
      <c r="J70" s="73">
        <f t="shared" si="21"/>
        <v>0.89999999999999991</v>
      </c>
      <c r="K70" s="74"/>
    </row>
    <row r="71" spans="1:11" ht="16.2" thickBot="1" x14ac:dyDescent="0.35">
      <c r="A71" s="12"/>
      <c r="B71" s="13" t="s">
        <v>83</v>
      </c>
      <c r="C71" s="48">
        <f t="shared" ref="C71:J71" si="22">C50+0.2</f>
        <v>0.5</v>
      </c>
      <c r="D71" s="48">
        <f t="shared" si="22"/>
        <v>0.60000000000000009</v>
      </c>
      <c r="E71" s="48">
        <f t="shared" si="22"/>
        <v>0.4</v>
      </c>
      <c r="F71" s="49"/>
      <c r="G71" s="48">
        <f t="shared" si="22"/>
        <v>0.4</v>
      </c>
      <c r="H71" s="49"/>
      <c r="I71" s="48">
        <f t="shared" si="22"/>
        <v>0.5</v>
      </c>
      <c r="J71" s="48">
        <f t="shared" si="22"/>
        <v>0.5</v>
      </c>
      <c r="K71" s="49"/>
    </row>
    <row r="72" spans="1:11" ht="15.6" x14ac:dyDescent="0.3">
      <c r="A72" s="9" t="s">
        <v>84</v>
      </c>
      <c r="B72" s="10" t="s">
        <v>10</v>
      </c>
      <c r="C72" s="34">
        <v>50</v>
      </c>
      <c r="D72" s="34">
        <v>49</v>
      </c>
      <c r="E72" s="34">
        <v>50</v>
      </c>
      <c r="F72" s="34"/>
      <c r="G72" s="34">
        <v>20</v>
      </c>
      <c r="H72" s="34"/>
      <c r="I72" s="35">
        <v>24</v>
      </c>
      <c r="J72" s="34">
        <v>106</v>
      </c>
      <c r="K72" s="34"/>
    </row>
    <row r="73" spans="1:11" ht="15.6" x14ac:dyDescent="0.3">
      <c r="A73" s="17"/>
      <c r="B73" s="8" t="s">
        <v>96</v>
      </c>
      <c r="C73" s="54">
        <f t="shared" ref="C73:J73" si="23">C72*1.5</f>
        <v>75</v>
      </c>
      <c r="D73" s="54">
        <f t="shared" si="23"/>
        <v>73.5</v>
      </c>
      <c r="E73" s="54">
        <f t="shared" si="23"/>
        <v>75</v>
      </c>
      <c r="F73" s="55"/>
      <c r="G73" s="54">
        <f t="shared" si="23"/>
        <v>30</v>
      </c>
      <c r="H73" s="55"/>
      <c r="I73" s="54">
        <f t="shared" si="23"/>
        <v>36</v>
      </c>
      <c r="J73" s="54">
        <f t="shared" si="23"/>
        <v>159</v>
      </c>
      <c r="K73" s="55"/>
    </row>
    <row r="74" spans="1:11" ht="15.6" x14ac:dyDescent="0.3">
      <c r="A74" s="17"/>
      <c r="B74" s="8" t="s">
        <v>93</v>
      </c>
      <c r="C74" s="40">
        <v>2</v>
      </c>
      <c r="D74" s="40">
        <v>2</v>
      </c>
      <c r="E74" s="40">
        <v>2</v>
      </c>
      <c r="F74" s="40"/>
      <c r="G74" s="40">
        <v>1</v>
      </c>
      <c r="H74" s="40"/>
      <c r="I74" s="41">
        <v>1</v>
      </c>
      <c r="J74" s="40">
        <v>3</v>
      </c>
      <c r="K74" s="40"/>
    </row>
    <row r="75" spans="1:11" ht="15.6" x14ac:dyDescent="0.3">
      <c r="A75" s="17"/>
      <c r="B75" s="8" t="s">
        <v>85</v>
      </c>
      <c r="C75" s="75">
        <v>0.92</v>
      </c>
      <c r="D75" s="76">
        <v>0.92</v>
      </c>
      <c r="E75" s="75">
        <v>0.92</v>
      </c>
      <c r="F75" s="40"/>
      <c r="G75" s="75">
        <v>0.95</v>
      </c>
      <c r="H75" s="40"/>
      <c r="I75" s="77">
        <v>0.9</v>
      </c>
      <c r="J75" s="75">
        <v>0.92</v>
      </c>
      <c r="K75" s="40"/>
    </row>
    <row r="76" spans="1:11" ht="15.6" x14ac:dyDescent="0.3">
      <c r="A76" s="17"/>
      <c r="B76" s="8" t="s">
        <v>94</v>
      </c>
      <c r="C76" s="40">
        <v>18</v>
      </c>
      <c r="D76" s="40">
        <v>18</v>
      </c>
      <c r="E76" s="40">
        <v>18</v>
      </c>
      <c r="F76" s="40"/>
      <c r="G76" s="40">
        <v>18</v>
      </c>
      <c r="H76" s="40"/>
      <c r="I76" s="41">
        <v>18</v>
      </c>
      <c r="J76" s="40">
        <v>18</v>
      </c>
      <c r="K76" s="40"/>
    </row>
    <row r="77" spans="1:11" ht="15.6" x14ac:dyDescent="0.3">
      <c r="A77" s="17"/>
      <c r="B77" s="8" t="s">
        <v>95</v>
      </c>
      <c r="C77" s="40">
        <v>2.42</v>
      </c>
      <c r="D77" s="40">
        <v>2.42</v>
      </c>
      <c r="E77" s="40">
        <v>2.42</v>
      </c>
      <c r="F77" s="40"/>
      <c r="G77" s="40">
        <v>2.42</v>
      </c>
      <c r="H77" s="40"/>
      <c r="I77" s="41">
        <v>2.42</v>
      </c>
      <c r="J77" s="40">
        <v>2.4500000000000002</v>
      </c>
      <c r="K77" s="40"/>
    </row>
    <row r="78" spans="1:11" ht="15.6" x14ac:dyDescent="0.3">
      <c r="A78" s="17"/>
      <c r="B78" s="8" t="s">
        <v>86</v>
      </c>
      <c r="C78" s="54">
        <f t="shared" ref="C78:J78" si="24">SUM(C79:C81)</f>
        <v>16.7</v>
      </c>
      <c r="D78" s="78">
        <f t="shared" si="24"/>
        <v>17.237755102040815</v>
      </c>
      <c r="E78" s="54">
        <f t="shared" si="24"/>
        <v>16.5</v>
      </c>
      <c r="F78" s="55"/>
      <c r="G78" s="54">
        <f t="shared" si="24"/>
        <v>16</v>
      </c>
      <c r="H78" s="55"/>
      <c r="I78" s="54">
        <f t="shared" si="24"/>
        <v>16</v>
      </c>
      <c r="J78" s="54">
        <f t="shared" si="24"/>
        <v>16.100000000000001</v>
      </c>
      <c r="K78" s="55"/>
    </row>
    <row r="79" spans="1:11" ht="15.6" x14ac:dyDescent="0.3">
      <c r="A79" s="11"/>
      <c r="B79" s="6" t="s">
        <v>87</v>
      </c>
      <c r="C79" s="2">
        <v>15.5</v>
      </c>
      <c r="D79" s="79">
        <v>16.330612244897956</v>
      </c>
      <c r="E79" s="2">
        <v>15.5</v>
      </c>
      <c r="F79" s="2"/>
      <c r="G79" s="2">
        <v>15.5</v>
      </c>
      <c r="H79" s="2"/>
      <c r="I79" s="31">
        <v>15</v>
      </c>
      <c r="J79" s="2">
        <v>15</v>
      </c>
      <c r="K79" s="2"/>
    </row>
    <row r="80" spans="1:11" ht="15.6" x14ac:dyDescent="0.3">
      <c r="A80" s="11"/>
      <c r="B80" s="6" t="s">
        <v>116</v>
      </c>
      <c r="C80" s="2">
        <v>0.9</v>
      </c>
      <c r="D80" s="79">
        <v>0.49897959183673474</v>
      </c>
      <c r="E80" s="2">
        <v>0.7</v>
      </c>
      <c r="F80" s="2"/>
      <c r="G80" s="2">
        <v>0.3</v>
      </c>
      <c r="H80" s="2"/>
      <c r="I80" s="31">
        <v>0.7</v>
      </c>
      <c r="J80" s="2">
        <v>0.8</v>
      </c>
      <c r="K80" s="2"/>
    </row>
    <row r="81" spans="1:11" ht="15.6" x14ac:dyDescent="0.3">
      <c r="A81" s="11"/>
      <c r="B81" s="6" t="s">
        <v>117</v>
      </c>
      <c r="C81" s="2">
        <v>0.3</v>
      </c>
      <c r="D81" s="79">
        <v>0.40816326530612246</v>
      </c>
      <c r="E81" s="2">
        <v>0.3</v>
      </c>
      <c r="F81" s="2"/>
      <c r="G81" s="2">
        <v>0.2</v>
      </c>
      <c r="H81" s="2"/>
      <c r="I81" s="31">
        <v>0.3</v>
      </c>
      <c r="J81" s="2">
        <v>0.3</v>
      </c>
      <c r="K81" s="2"/>
    </row>
    <row r="82" spans="1:11" ht="15.6" x14ac:dyDescent="0.3">
      <c r="A82" s="11"/>
      <c r="B82" s="6" t="s">
        <v>88</v>
      </c>
      <c r="C82" s="2">
        <v>1.3</v>
      </c>
      <c r="D82" s="2">
        <v>1.5</v>
      </c>
      <c r="E82" s="2">
        <v>1.3</v>
      </c>
      <c r="F82" s="2"/>
      <c r="G82" s="2">
        <v>1.3</v>
      </c>
      <c r="H82" s="2"/>
      <c r="I82" s="31">
        <v>1</v>
      </c>
      <c r="J82" s="2">
        <v>1.35</v>
      </c>
      <c r="K82" s="2"/>
    </row>
    <row r="83" spans="1:11" ht="15.6" x14ac:dyDescent="0.3">
      <c r="A83" s="11"/>
      <c r="B83" s="6" t="s">
        <v>89</v>
      </c>
      <c r="C83" s="47">
        <v>0.08</v>
      </c>
      <c r="D83" s="47">
        <v>0.06</v>
      </c>
      <c r="E83" s="47">
        <v>0.08</v>
      </c>
      <c r="F83" s="2"/>
      <c r="G83" s="47">
        <v>0.05</v>
      </c>
      <c r="H83" s="2"/>
      <c r="I83" s="72">
        <v>0.08</v>
      </c>
      <c r="J83" s="80">
        <v>7.4999999999999997E-2</v>
      </c>
      <c r="K83" s="2"/>
    </row>
    <row r="84" spans="1:11" ht="15.6" x14ac:dyDescent="0.3">
      <c r="A84" s="11"/>
      <c r="B84" s="6" t="s">
        <v>90</v>
      </c>
      <c r="C84" s="81">
        <f t="shared" ref="C84:J84" si="25">C79*(1-C83)</f>
        <v>14.26</v>
      </c>
      <c r="D84" s="81">
        <f t="shared" si="25"/>
        <v>15.350775510204079</v>
      </c>
      <c r="E84" s="81">
        <f t="shared" si="25"/>
        <v>14.26</v>
      </c>
      <c r="F84" s="82"/>
      <c r="G84" s="81">
        <f t="shared" si="25"/>
        <v>14.725</v>
      </c>
      <c r="H84" s="82"/>
      <c r="I84" s="81">
        <f t="shared" si="25"/>
        <v>13.8</v>
      </c>
      <c r="J84" s="81">
        <f t="shared" si="25"/>
        <v>13.875</v>
      </c>
      <c r="K84" s="82"/>
    </row>
    <row r="85" spans="1:11" ht="15.6" x14ac:dyDescent="0.3">
      <c r="A85" s="11"/>
      <c r="B85" s="6" t="s">
        <v>97</v>
      </c>
      <c r="C85" s="83">
        <f t="shared" ref="C85:J85" si="26">C84*C77</f>
        <v>34.5092</v>
      </c>
      <c r="D85" s="83">
        <f t="shared" si="26"/>
        <v>37.148876734693872</v>
      </c>
      <c r="E85" s="83">
        <f t="shared" si="26"/>
        <v>34.5092</v>
      </c>
      <c r="F85" s="84"/>
      <c r="G85" s="83">
        <f t="shared" si="26"/>
        <v>35.634499999999996</v>
      </c>
      <c r="H85" s="84"/>
      <c r="I85" s="83">
        <f t="shared" si="26"/>
        <v>33.396000000000001</v>
      </c>
      <c r="J85" s="83">
        <f t="shared" si="26"/>
        <v>33.993750000000006</v>
      </c>
      <c r="K85" s="84"/>
    </row>
    <row r="86" spans="1:11" ht="15.6" x14ac:dyDescent="0.3">
      <c r="A86" s="11"/>
      <c r="B86" s="6" t="s">
        <v>91</v>
      </c>
      <c r="C86" s="2">
        <v>7.2</v>
      </c>
      <c r="D86" s="2">
        <v>8</v>
      </c>
      <c r="E86" s="2">
        <v>7.2</v>
      </c>
      <c r="F86" s="2"/>
      <c r="G86" s="2">
        <v>7.5</v>
      </c>
      <c r="H86" s="2"/>
      <c r="I86" s="31">
        <v>7.5</v>
      </c>
      <c r="J86" s="2">
        <v>7.5</v>
      </c>
      <c r="K86" s="2"/>
    </row>
    <row r="87" spans="1:11" ht="16.2" thickBot="1" x14ac:dyDescent="0.35">
      <c r="A87" s="15"/>
      <c r="B87" s="16" t="s">
        <v>92</v>
      </c>
      <c r="C87" s="85">
        <f t="shared" ref="C87:J87" si="27">C84*C86</f>
        <v>102.672</v>
      </c>
      <c r="D87" s="85">
        <f t="shared" si="27"/>
        <v>122.80620408163263</v>
      </c>
      <c r="E87" s="85">
        <f t="shared" si="27"/>
        <v>102.672</v>
      </c>
      <c r="F87" s="86"/>
      <c r="G87" s="85">
        <f t="shared" si="27"/>
        <v>110.4375</v>
      </c>
      <c r="H87" s="86"/>
      <c r="I87" s="85">
        <f t="shared" si="27"/>
        <v>103.5</v>
      </c>
      <c r="J87" s="85">
        <f t="shared" si="27"/>
        <v>104.0625</v>
      </c>
      <c r="K87" s="86"/>
    </row>
    <row r="88" spans="1:11" ht="15.6" x14ac:dyDescent="0.3">
      <c r="A88" s="9" t="s">
        <v>98</v>
      </c>
      <c r="B88" s="10" t="s">
        <v>101</v>
      </c>
      <c r="C88" s="66">
        <f t="shared" ref="C88:J88" si="28">(C72*C75)*(C79)*(1-C83)</f>
        <v>655.96</v>
      </c>
      <c r="D88" s="66">
        <f t="shared" si="28"/>
        <v>692.01295999999991</v>
      </c>
      <c r="E88" s="66">
        <f t="shared" si="28"/>
        <v>655.96</v>
      </c>
      <c r="F88" s="67" t="s">
        <v>122</v>
      </c>
      <c r="G88" s="66">
        <f t="shared" si="28"/>
        <v>279.77499999999998</v>
      </c>
      <c r="H88" s="67" t="s">
        <v>122</v>
      </c>
      <c r="I88" s="66">
        <f>(I72*I75)*(I79)*(1-I83)-70</f>
        <v>228.08000000000004</v>
      </c>
      <c r="J88" s="66">
        <f t="shared" si="28"/>
        <v>1353.0900000000001</v>
      </c>
      <c r="K88" s="67" t="s">
        <v>122</v>
      </c>
    </row>
    <row r="89" spans="1:11" x14ac:dyDescent="0.3">
      <c r="A89" s="22"/>
      <c r="B89" s="6" t="s">
        <v>99</v>
      </c>
      <c r="C89" s="2">
        <v>28</v>
      </c>
      <c r="D89" s="2">
        <v>29</v>
      </c>
      <c r="E89" s="2">
        <v>27</v>
      </c>
      <c r="F89" s="2">
        <v>28</v>
      </c>
      <c r="G89" s="2">
        <v>28.8</v>
      </c>
      <c r="H89" s="2">
        <v>28</v>
      </c>
      <c r="I89" s="31">
        <v>28</v>
      </c>
      <c r="J89" s="2">
        <v>28</v>
      </c>
      <c r="K89" s="2">
        <v>28</v>
      </c>
    </row>
    <row r="90" spans="1:11" ht="15.6" x14ac:dyDescent="0.3">
      <c r="A90" s="11"/>
      <c r="B90" s="6" t="s">
        <v>100</v>
      </c>
      <c r="C90" s="73">
        <f t="shared" ref="C90:J90" si="29">C89-C86</f>
        <v>20.8</v>
      </c>
      <c r="D90" s="73">
        <f t="shared" si="29"/>
        <v>21</v>
      </c>
      <c r="E90" s="73">
        <f t="shared" si="29"/>
        <v>19.8</v>
      </c>
      <c r="F90" s="74">
        <v>21</v>
      </c>
      <c r="G90" s="73">
        <f t="shared" si="29"/>
        <v>21.3</v>
      </c>
      <c r="H90" s="74">
        <v>21</v>
      </c>
      <c r="I90" s="73">
        <f t="shared" si="29"/>
        <v>20.5</v>
      </c>
      <c r="J90" s="73">
        <f t="shared" si="29"/>
        <v>20.5</v>
      </c>
      <c r="K90" s="74">
        <v>21</v>
      </c>
    </row>
    <row r="91" spans="1:11" ht="15.6" x14ac:dyDescent="0.3">
      <c r="A91" s="11"/>
      <c r="B91" s="6" t="s">
        <v>102</v>
      </c>
      <c r="C91" s="42">
        <f t="shared" ref="C91:J91" si="30">C90/38</f>
        <v>0.54736842105263162</v>
      </c>
      <c r="D91" s="42">
        <f t="shared" si="30"/>
        <v>0.55263157894736847</v>
      </c>
      <c r="E91" s="42">
        <f t="shared" si="30"/>
        <v>0.52105263157894743</v>
      </c>
      <c r="F91" s="42">
        <v>0.55000000000000004</v>
      </c>
      <c r="G91" s="42">
        <f t="shared" si="30"/>
        <v>0.56052631578947365</v>
      </c>
      <c r="H91" s="42">
        <v>0.55000000000000004</v>
      </c>
      <c r="I91" s="42">
        <f t="shared" si="30"/>
        <v>0.53947368421052633</v>
      </c>
      <c r="J91" s="42">
        <f t="shared" si="30"/>
        <v>0.53947368421052633</v>
      </c>
      <c r="K91" s="42">
        <v>0.55000000000000004</v>
      </c>
    </row>
    <row r="92" spans="1:11" ht="15.6" x14ac:dyDescent="0.3">
      <c r="A92" s="11"/>
      <c r="B92" s="6" t="s">
        <v>103</v>
      </c>
      <c r="C92" s="26">
        <v>1.55</v>
      </c>
      <c r="D92" s="26">
        <v>1.5</v>
      </c>
      <c r="E92" s="26">
        <v>1.5</v>
      </c>
      <c r="F92" s="26">
        <v>1.48</v>
      </c>
      <c r="G92" s="26">
        <v>1.5</v>
      </c>
      <c r="H92" s="26">
        <v>1.48</v>
      </c>
      <c r="I92" s="27">
        <v>1.5</v>
      </c>
      <c r="J92" s="26">
        <v>1.45</v>
      </c>
      <c r="K92" s="26">
        <v>1.45</v>
      </c>
    </row>
    <row r="93" spans="1:11" ht="16.2" thickBot="1" x14ac:dyDescent="0.35">
      <c r="A93" s="15"/>
      <c r="B93" s="16" t="s">
        <v>104</v>
      </c>
      <c r="C93" s="28">
        <v>0.01</v>
      </c>
      <c r="D93" s="28">
        <v>0.01</v>
      </c>
      <c r="E93" s="29">
        <v>8.0000000000000002E-3</v>
      </c>
      <c r="F93" s="29">
        <v>6.0000000000000001E-3</v>
      </c>
      <c r="G93" s="28">
        <v>0.01</v>
      </c>
      <c r="H93" s="29">
        <v>6.0000000000000001E-3</v>
      </c>
      <c r="I93" s="30">
        <v>1.2E-2</v>
      </c>
      <c r="J93" s="29">
        <v>5.0000000000000001E-3</v>
      </c>
      <c r="K93" s="29">
        <v>6.0000000000000001E-3</v>
      </c>
    </row>
    <row r="94" spans="1:11" ht="15.6" x14ac:dyDescent="0.3">
      <c r="A94" s="9" t="s">
        <v>105</v>
      </c>
      <c r="B94" s="20" t="s">
        <v>106</v>
      </c>
      <c r="C94" s="34">
        <v>520</v>
      </c>
      <c r="D94" s="87">
        <f>+D88-D88*D93</f>
        <v>685.09283039999991</v>
      </c>
      <c r="E94" s="34">
        <v>643</v>
      </c>
      <c r="F94" s="34">
        <v>210</v>
      </c>
      <c r="G94" s="34">
        <v>173</v>
      </c>
      <c r="H94" s="34">
        <v>390</v>
      </c>
      <c r="I94" s="35">
        <v>226</v>
      </c>
      <c r="J94" s="34">
        <v>1040</v>
      </c>
      <c r="K94" s="34">
        <v>600</v>
      </c>
    </row>
    <row r="95" spans="1:11" ht="15.6" x14ac:dyDescent="0.3">
      <c r="A95" s="11"/>
      <c r="B95" s="5" t="s">
        <v>107</v>
      </c>
      <c r="C95" s="2">
        <v>1.1000000000000001</v>
      </c>
      <c r="D95" s="2">
        <v>1.1000000000000001</v>
      </c>
      <c r="E95" s="2">
        <v>1.1000000000000001</v>
      </c>
      <c r="F95" s="2">
        <v>1.1000000000000001</v>
      </c>
      <c r="G95" s="2">
        <v>1.1000000000000001</v>
      </c>
      <c r="H95" s="2">
        <v>1.1000000000000001</v>
      </c>
      <c r="I95" s="31">
        <v>1.1000000000000001</v>
      </c>
      <c r="J95" s="2">
        <v>1.1000000000000001</v>
      </c>
      <c r="K95" s="2">
        <v>1.1000000000000001</v>
      </c>
    </row>
    <row r="96" spans="1:11" ht="15.6" x14ac:dyDescent="0.3">
      <c r="A96" s="11"/>
      <c r="B96" s="5" t="s">
        <v>108</v>
      </c>
      <c r="C96" s="2">
        <v>2.42</v>
      </c>
      <c r="D96" s="2">
        <v>2.42</v>
      </c>
      <c r="E96" s="2">
        <v>2.4</v>
      </c>
      <c r="F96" s="2">
        <v>2.4</v>
      </c>
      <c r="G96" s="2">
        <v>2.4300000000000002</v>
      </c>
      <c r="H96" s="2">
        <v>2.4</v>
      </c>
      <c r="I96" s="31">
        <v>2.4</v>
      </c>
      <c r="J96" s="2">
        <v>2.4</v>
      </c>
      <c r="K96" s="2">
        <v>2.4</v>
      </c>
    </row>
    <row r="97" spans="1:11" ht="15.6" x14ac:dyDescent="0.3">
      <c r="A97" s="11"/>
      <c r="B97" s="5" t="s">
        <v>109</v>
      </c>
      <c r="C97" s="80">
        <v>1.7999999999999999E-2</v>
      </c>
      <c r="D97" s="47">
        <v>0.02</v>
      </c>
      <c r="E97" s="47">
        <v>0.02</v>
      </c>
      <c r="F97" s="80">
        <v>1.4999999999999999E-2</v>
      </c>
      <c r="G97" s="47">
        <v>0.02</v>
      </c>
      <c r="H97" s="80">
        <v>1.4999999999999999E-2</v>
      </c>
      <c r="I97" s="72">
        <v>0.02</v>
      </c>
      <c r="J97" s="80">
        <v>1.6E-2</v>
      </c>
      <c r="K97" s="80">
        <v>1.4999999999999999E-2</v>
      </c>
    </row>
    <row r="98" spans="1:11" ht="15.6" x14ac:dyDescent="0.3">
      <c r="A98" s="11"/>
      <c r="B98" s="5" t="s">
        <v>111</v>
      </c>
      <c r="C98" s="2">
        <v>91</v>
      </c>
      <c r="D98" s="2">
        <v>94</v>
      </c>
      <c r="E98" s="2">
        <v>90</v>
      </c>
      <c r="F98" s="2">
        <v>88.8</v>
      </c>
      <c r="G98" s="2">
        <v>97</v>
      </c>
      <c r="H98" s="2">
        <v>96</v>
      </c>
      <c r="I98" s="31">
        <v>89</v>
      </c>
      <c r="J98" s="2">
        <v>93</v>
      </c>
      <c r="K98" s="2">
        <v>96</v>
      </c>
    </row>
    <row r="99" spans="1:11" ht="15.6" x14ac:dyDescent="0.3">
      <c r="A99" s="11"/>
      <c r="B99" s="5" t="s">
        <v>110</v>
      </c>
      <c r="C99" s="2" t="s">
        <v>118</v>
      </c>
      <c r="D99" s="2" t="s">
        <v>118</v>
      </c>
      <c r="E99" s="2" t="s">
        <v>118</v>
      </c>
      <c r="F99" s="2" t="s">
        <v>118</v>
      </c>
      <c r="G99" s="2" t="s">
        <v>118</v>
      </c>
      <c r="H99" s="2" t="s">
        <v>118</v>
      </c>
      <c r="I99" s="2" t="s">
        <v>118</v>
      </c>
      <c r="J99" s="2" t="s">
        <v>118</v>
      </c>
      <c r="K99" s="2" t="s">
        <v>118</v>
      </c>
    </row>
    <row r="100" spans="1:11" ht="15.6" x14ac:dyDescent="0.3">
      <c r="A100" s="11"/>
      <c r="B100" s="3" t="s">
        <v>112</v>
      </c>
      <c r="C100" s="2" t="s">
        <v>118</v>
      </c>
      <c r="D100" s="2" t="s">
        <v>118</v>
      </c>
      <c r="E100" s="2" t="s">
        <v>118</v>
      </c>
      <c r="F100" s="2" t="s">
        <v>118</v>
      </c>
      <c r="G100" s="2" t="s">
        <v>118</v>
      </c>
      <c r="H100" s="2" t="s">
        <v>118</v>
      </c>
      <c r="I100" s="2" t="s">
        <v>118</v>
      </c>
      <c r="J100" s="2" t="s">
        <v>118</v>
      </c>
      <c r="K100" s="2" t="s">
        <v>118</v>
      </c>
    </row>
    <row r="101" spans="1:11" ht="16.2" thickBot="1" x14ac:dyDescent="0.35">
      <c r="A101" s="12"/>
      <c r="B101" s="23" t="s">
        <v>113</v>
      </c>
      <c r="C101" s="88">
        <f>C85*(1-C93)*(1-C97)*C98</f>
        <v>3052.9730190959999</v>
      </c>
      <c r="D101" s="88">
        <f t="shared" ref="D101:J101" si="31">D85*(1-D93)*(1-D97)*D98</f>
        <v>3387.9329795519998</v>
      </c>
      <c r="E101" s="88">
        <f>E85*(1-E93)*(1-E97)*E98</f>
        <v>3019.3617484799993</v>
      </c>
      <c r="F101" s="88"/>
      <c r="G101" s="88">
        <f t="shared" si="31"/>
        <v>3353.5414142999998</v>
      </c>
      <c r="H101" s="88"/>
      <c r="I101" s="88">
        <f t="shared" si="31"/>
        <v>2877.8455305600005</v>
      </c>
      <c r="J101" s="88">
        <f t="shared" si="31"/>
        <v>3095.2818697500002</v>
      </c>
      <c r="K101" s="88"/>
    </row>
  </sheetData>
  <mergeCells count="1">
    <mergeCell ref="C1:J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Props1.xml><?xml version="1.0" encoding="utf-8"?>
<ds:datastoreItem xmlns:ds="http://schemas.openxmlformats.org/officeDocument/2006/customXml" ds:itemID="{8E4DB5CB-7B7E-441A-8CEA-015AE0D0BDC7}"/>
</file>

<file path=customXml/itemProps2.xml><?xml version="1.0" encoding="utf-8"?>
<ds:datastoreItem xmlns:ds="http://schemas.openxmlformats.org/officeDocument/2006/customXml" ds:itemID="{56E5C6AA-DE11-4140-BE9F-DB48B3C51BE2}"/>
</file>

<file path=customXml/itemProps3.xml><?xml version="1.0" encoding="utf-8"?>
<ds:datastoreItem xmlns:ds="http://schemas.openxmlformats.org/officeDocument/2006/customXml" ds:itemID="{9FD0C554-654D-4B8F-AA1D-C3C77B4227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Manlow Charumbira</dc:creator>
  <cp:lastModifiedBy>Manlow Charumbira</cp:lastModifiedBy>
  <dcterms:created xsi:type="dcterms:W3CDTF">2026-09-08T10:13:10Z</dcterms:created>
  <dcterms:modified xsi:type="dcterms:W3CDTF">2026-09-11T15:11:09Z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